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I BALAJI DAIRY\Desktop\Shri_Balaji_Dairy\January-2026\Daily Sales Report-Jan-26\"/>
    </mc:Choice>
  </mc:AlternateContent>
  <bookViews>
    <workbookView xWindow="0" yWindow="0" windowWidth="20490" windowHeight="8940" tabRatio="818" firstSheet="1" activeTab="9"/>
  </bookViews>
  <sheets>
    <sheet name="Vashundhar_1" sheetId="1" r:id="rId1"/>
    <sheet name="Vashundhar_2" sheetId="2" r:id="rId2"/>
    <sheet name="Vashundhra-3" sheetId="4" r:id="rId3"/>
    <sheet name="Shalimar_Ext" sheetId="5" r:id="rId4"/>
    <sheet name="Vaishali_OLD" sheetId="12" r:id="rId5"/>
    <sheet name="Rajnagar_Ext" sheetId="6" r:id="rId6"/>
    <sheet name="Vaishali_1" sheetId="10" r:id="rId7"/>
    <sheet name="Shop" sheetId="16" r:id="rId8"/>
    <sheet name="Siddhart Vihar" sheetId="19" r:id="rId9"/>
    <sheet name="Total" sheetId="18" r:id="rId10"/>
  </sheets>
  <definedNames>
    <definedName name="_xlnm.Print_Area" localSheetId="0">Vashundhar_1!$A$1:$I$38</definedName>
  </definedNames>
  <calcPr calcId="162913"/>
</workbook>
</file>

<file path=xl/calcChain.xml><?xml version="1.0" encoding="utf-8"?>
<calcChain xmlns="http://schemas.openxmlformats.org/spreadsheetml/2006/main">
  <c r="G38" i="19" l="1"/>
  <c r="F38" i="19"/>
  <c r="G38" i="1" l="1"/>
  <c r="F38" i="1"/>
  <c r="G33" i="10" l="1"/>
  <c r="F33" i="10" l="1"/>
  <c r="F21" i="16" l="1"/>
  <c r="G42" i="4" l="1"/>
  <c r="F42" i="4"/>
  <c r="G39" i="5" l="1"/>
  <c r="F39" i="5"/>
  <c r="H36" i="6" l="1"/>
  <c r="F36" i="6"/>
  <c r="F35" i="2" l="1"/>
  <c r="G35" i="2"/>
  <c r="G36" i="6" l="1"/>
  <c r="G42" i="12" l="1"/>
  <c r="F42" i="12" l="1"/>
  <c r="G21" i="16" l="1"/>
  <c r="C4" i="18" l="1"/>
  <c r="D5" i="18" l="1"/>
  <c r="C12" i="18"/>
  <c r="D7" i="18" l="1"/>
  <c r="D11" i="18"/>
  <c r="C10" i="18" l="1"/>
  <c r="D12" i="18" l="1"/>
  <c r="E12" i="18" s="1"/>
  <c r="G12" i="18" l="1"/>
  <c r="C5" i="18"/>
  <c r="E5" i="18" s="1"/>
  <c r="G5" i="18" l="1"/>
  <c r="C6" i="18"/>
  <c r="C8" i="18" l="1"/>
  <c r="C9" i="18" l="1"/>
  <c r="F13" i="18" l="1"/>
  <c r="D6" i="18" l="1"/>
  <c r="E6" i="18" s="1"/>
  <c r="G6" i="18" l="1"/>
  <c r="D10" i="18"/>
  <c r="E10" i="18" s="1"/>
  <c r="G10" i="18" l="1"/>
  <c r="D9" i="18"/>
  <c r="E9" i="18" s="1"/>
  <c r="G9" i="18" l="1"/>
  <c r="C11" i="18"/>
  <c r="E11" i="18" s="1"/>
  <c r="G11" i="18" l="1"/>
  <c r="D8" i="18" l="1"/>
  <c r="E8" i="18" s="1"/>
  <c r="C7" i="18"/>
  <c r="E7" i="18" s="1"/>
  <c r="D4" i="18"/>
  <c r="E4" i="18" s="1"/>
  <c r="E13" i="18" l="1"/>
  <c r="C13" i="18"/>
  <c r="G4" i="18"/>
  <c r="D13" i="18"/>
  <c r="G8" i="18"/>
  <c r="G7" i="18" l="1"/>
  <c r="G13" i="18" s="1"/>
</calcChain>
</file>

<file path=xl/sharedStrings.xml><?xml version="1.0" encoding="utf-8"?>
<sst xmlns="http://schemas.openxmlformats.org/spreadsheetml/2006/main" count="861" uniqueCount="486">
  <si>
    <t>S.NO</t>
  </si>
  <si>
    <t>NAME</t>
  </si>
  <si>
    <t xml:space="preserve">    ADDRESS</t>
  </si>
  <si>
    <t>PHONE NO</t>
  </si>
  <si>
    <t>Requirement</t>
  </si>
  <si>
    <t>B</t>
  </si>
  <si>
    <t>C</t>
  </si>
  <si>
    <t>Milk Schedule</t>
  </si>
  <si>
    <t>Extra</t>
  </si>
  <si>
    <t>2b</t>
  </si>
  <si>
    <t>1b</t>
  </si>
  <si>
    <t>1B</t>
  </si>
  <si>
    <t>1A0</t>
  </si>
  <si>
    <t>Dolly Taneja</t>
  </si>
  <si>
    <t>Pragya Kunj -1111</t>
  </si>
  <si>
    <t>SUMATI  CHAUHAN</t>
  </si>
  <si>
    <t>ADERSH APP-2224</t>
  </si>
  <si>
    <t>GULSHER ALI</t>
  </si>
  <si>
    <t>Sunaina</t>
  </si>
  <si>
    <t xml:space="preserve">  4B  -  3169</t>
  </si>
  <si>
    <t xml:space="preserve">2B </t>
  </si>
  <si>
    <t>Akash ganga</t>
  </si>
  <si>
    <t>Akash ganga-3028</t>
  </si>
  <si>
    <t>Vasundhra valley</t>
  </si>
  <si>
    <t>Sec 3/1339 -GF</t>
  </si>
  <si>
    <t>SG Homes C1312A</t>
  </si>
  <si>
    <t>GNC Greenwood C705</t>
  </si>
  <si>
    <t>GNC Greenwood C901</t>
  </si>
  <si>
    <t>2B-1507-Shri laxmi apr.</t>
  </si>
  <si>
    <t>TOTAL</t>
  </si>
  <si>
    <t>ADDRESS</t>
  </si>
  <si>
    <t>phone no</t>
  </si>
  <si>
    <t xml:space="preserve">Sudha </t>
  </si>
  <si>
    <t xml:space="preserve"> SEC 9 -1241GF</t>
  </si>
  <si>
    <t>3b</t>
  </si>
  <si>
    <t>Judge colony9/58 GF</t>
  </si>
  <si>
    <t>1c</t>
  </si>
  <si>
    <t>9/2/13/UGF2</t>
  </si>
  <si>
    <t>1C</t>
  </si>
  <si>
    <t>Drona Giri Sec 11-D 312</t>
  </si>
  <si>
    <t>Marlin-1606</t>
  </si>
  <si>
    <t>S.N</t>
  </si>
  <si>
    <t>Sandhya Phore</t>
  </si>
  <si>
    <t>Niti Khand 3-581 SF</t>
  </si>
  <si>
    <t>Dr.Anandpal Singh</t>
  </si>
  <si>
    <t>Niti Khand 3-41 FF</t>
  </si>
  <si>
    <t>Shipra Shristi SEM B 810</t>
  </si>
  <si>
    <t>Chitrasen Paridhi</t>
  </si>
  <si>
    <t>Niti Khand 2-268-TF2</t>
  </si>
  <si>
    <t>3B</t>
  </si>
  <si>
    <t>SAYA ZENITH AHINSA-A1-208</t>
  </si>
  <si>
    <t>Arunima Palace C1201</t>
  </si>
  <si>
    <t>Goldan bhai</t>
  </si>
  <si>
    <t>Shipra Revira SRC 49C-SF</t>
  </si>
  <si>
    <t>SAVIOUR PARK-D1-1104</t>
  </si>
  <si>
    <t>2B</t>
  </si>
  <si>
    <t>R.N Verma</t>
  </si>
  <si>
    <t>Flat no F1 Plot 5or6 Shalimar EX 4</t>
  </si>
  <si>
    <t>F302-5/51 SEC5 Rajender NGR</t>
  </si>
  <si>
    <t>11 / 56 SECTOR -3  RAJENDER NGR</t>
  </si>
  <si>
    <t>143 FB LAJPAT NAGAR GF</t>
  </si>
  <si>
    <t>54 SWAROOP PARK FF</t>
  </si>
  <si>
    <t>SEC-14 A/ ASHOKA SOCIETY  HN-30</t>
  </si>
  <si>
    <t>SEC 14 -204 GF</t>
  </si>
  <si>
    <t>SEC 14 -342 FF</t>
  </si>
  <si>
    <t>SEC-14-389 GF</t>
  </si>
  <si>
    <t>16B/2025/FF</t>
  </si>
  <si>
    <t>14/398</t>
  </si>
  <si>
    <t xml:space="preserve">Renu Bala </t>
  </si>
  <si>
    <t>River Height T11-C-241</t>
  </si>
  <si>
    <t xml:space="preserve">Alka Choubey </t>
  </si>
  <si>
    <t>SG GRAND-E-105</t>
  </si>
  <si>
    <t>Navin Kanaujia</t>
  </si>
  <si>
    <t>Ajnara Integrity B-1304</t>
  </si>
  <si>
    <t>2C</t>
  </si>
  <si>
    <t>Shailza Sharma</t>
  </si>
  <si>
    <t>Officer city 1-J 301</t>
  </si>
  <si>
    <t>2c</t>
  </si>
  <si>
    <t>Charms castle F-806</t>
  </si>
  <si>
    <t>GAUR H/364</t>
  </si>
  <si>
    <t>Royal Santaza 706</t>
  </si>
  <si>
    <t>Officer city 1 J 404</t>
  </si>
  <si>
    <t>Officer city 1-S-709</t>
  </si>
  <si>
    <t>Phone no</t>
  </si>
  <si>
    <t>Rattan Singh</t>
  </si>
  <si>
    <t>6/36/S2</t>
  </si>
  <si>
    <t>Sushil 6/178/S2</t>
  </si>
  <si>
    <t>Saurabh 6/74/202</t>
  </si>
  <si>
    <t>6/63/202</t>
  </si>
  <si>
    <t>6/193/S2</t>
  </si>
  <si>
    <t>Rahul Singh 6/78/F1</t>
  </si>
  <si>
    <t>MAXCITZ ,T 12 -1201</t>
  </si>
  <si>
    <t>SATISH SHARMA</t>
  </si>
  <si>
    <t>MAXCITZ ,T10-502</t>
  </si>
  <si>
    <t>MAXCITZ T-12 1401</t>
  </si>
  <si>
    <t>vaishali, Sec -3,726-GF</t>
  </si>
  <si>
    <t>VAISHALI SEC -2B -PLOT- 311 GF</t>
  </si>
  <si>
    <t>Jaypuria Society 68-SF Kosambi</t>
  </si>
  <si>
    <t>kamal bhaiya</t>
  </si>
  <si>
    <t>16b/230</t>
  </si>
  <si>
    <t>Aunty16b/208</t>
  </si>
  <si>
    <t>16b/226</t>
  </si>
  <si>
    <t>kamal uncle</t>
  </si>
  <si>
    <t>royal regency</t>
  </si>
  <si>
    <t>kusagr</t>
  </si>
  <si>
    <t>SHALESH VATS</t>
  </si>
  <si>
    <t>Harish chauhan</t>
  </si>
  <si>
    <t>4/334/D4th floor</t>
  </si>
  <si>
    <t>Date</t>
  </si>
  <si>
    <t>S.NO.</t>
  </si>
  <si>
    <t>DELIVERY BOY</t>
  </si>
  <si>
    <t>EMPTY</t>
  </si>
  <si>
    <t>BALANCE</t>
  </si>
  <si>
    <t>Vasundhar 1</t>
  </si>
  <si>
    <t>Vasundhar 2</t>
  </si>
  <si>
    <t>Shalimar_Ext</t>
  </si>
  <si>
    <t>Rajnagar_Ext</t>
  </si>
  <si>
    <t>Vaishali_OLD</t>
  </si>
  <si>
    <t>Vaishali_1</t>
  </si>
  <si>
    <t>Shop</t>
  </si>
  <si>
    <t>Total</t>
  </si>
  <si>
    <t>SVD-A-1410</t>
  </si>
  <si>
    <t>6-115-202</t>
  </si>
  <si>
    <t>sunil yadav</t>
  </si>
  <si>
    <t>Gardenia green,A-103</t>
  </si>
  <si>
    <t>C-202-Aura chimera</t>
  </si>
  <si>
    <t>D-1401,KM RESIDENCY</t>
  </si>
  <si>
    <t>16B-165</t>
  </si>
  <si>
    <t>sayagold-6-1604</t>
  </si>
  <si>
    <t>2C-361FF</t>
  </si>
  <si>
    <t>1A2B</t>
  </si>
  <si>
    <t>5-1028-GF</t>
  </si>
  <si>
    <t>5-1028-SF</t>
  </si>
  <si>
    <t>4B</t>
  </si>
  <si>
    <t>BHOLU TYAGI</t>
  </si>
  <si>
    <t>Girdhar enclave-74-</t>
  </si>
  <si>
    <t>UNI29</t>
  </si>
  <si>
    <t>YAKUB ALI JI</t>
  </si>
  <si>
    <t>6/66/105</t>
  </si>
  <si>
    <t xml:space="preserve"> </t>
  </si>
  <si>
    <t>B0TTEL OF SUPPLY</t>
  </si>
  <si>
    <t>2B-684</t>
  </si>
  <si>
    <t>Bibha thakur</t>
  </si>
  <si>
    <t>shivganga-2168</t>
  </si>
  <si>
    <t>6/175/204</t>
  </si>
  <si>
    <t>ARVIND KUMAR</t>
  </si>
  <si>
    <t>Atul sharma</t>
  </si>
  <si>
    <t>CIVITECH T5-102</t>
  </si>
  <si>
    <t>10C-14SF</t>
  </si>
  <si>
    <t>10C-15FF</t>
  </si>
  <si>
    <t>10C-16FF</t>
  </si>
  <si>
    <t>RAIL VIHAR-A-105</t>
  </si>
  <si>
    <t>RAIL VIHAR-F-202</t>
  </si>
  <si>
    <t>10A-02-UNCLE</t>
  </si>
  <si>
    <t>13-25-SF</t>
  </si>
  <si>
    <t>Drona Giri Sec 11-f420</t>
  </si>
  <si>
    <t>pearl square pockt10-g3 rm</t>
  </si>
  <si>
    <t>gate no.-2</t>
  </si>
  <si>
    <t>CALL</t>
  </si>
  <si>
    <t>call</t>
  </si>
  <si>
    <t>D2-703</t>
  </si>
  <si>
    <t>1-504</t>
  </si>
  <si>
    <t>1.5b</t>
  </si>
  <si>
    <t xml:space="preserve">                                  </t>
  </si>
  <si>
    <t>Rashi Sharma</t>
  </si>
  <si>
    <t>5-995-GF</t>
  </si>
  <si>
    <t>143 FB LAJPAT NAGAR ff</t>
  </si>
  <si>
    <t>2A1C</t>
  </si>
  <si>
    <t>2B-688</t>
  </si>
  <si>
    <t>LA ROYAL S-1106</t>
  </si>
  <si>
    <t>10C-176</t>
  </si>
  <si>
    <t>Pragya Kunj-4074</t>
  </si>
  <si>
    <t>6-116-UGF4</t>
  </si>
  <si>
    <t>Sudhir ji</t>
  </si>
  <si>
    <t>Green view H-140</t>
  </si>
  <si>
    <t>S.K.2-C2-117</t>
  </si>
  <si>
    <t>415 PATRAKAR Socitey</t>
  </si>
  <si>
    <t>2B-442-3rd floor</t>
  </si>
  <si>
    <t>6-101-s1</t>
  </si>
  <si>
    <t>4b</t>
  </si>
  <si>
    <t>GAUR Sirddhattm H-671</t>
  </si>
  <si>
    <t>sg impration</t>
  </si>
  <si>
    <t>ring bell</t>
  </si>
  <si>
    <t>Sec 3/1049-sf</t>
  </si>
  <si>
    <t>6/212-g2</t>
  </si>
  <si>
    <t>16B-195-FF</t>
  </si>
  <si>
    <t>6/55/S1</t>
  </si>
  <si>
    <t>2A1B</t>
  </si>
  <si>
    <t>Parshant tyagi,O-310,VVIP</t>
  </si>
  <si>
    <t>Nehra ji</t>
  </si>
  <si>
    <t>ALKA</t>
  </si>
  <si>
    <t>1B-1C</t>
  </si>
  <si>
    <t>6/95/F3/106-S1</t>
  </si>
  <si>
    <t>1-523-SF1</t>
  </si>
  <si>
    <t>16B-422-1-FF</t>
  </si>
  <si>
    <t>royal G-803</t>
  </si>
  <si>
    <t>2B-461 ff</t>
  </si>
  <si>
    <t>2B-461 GF</t>
  </si>
  <si>
    <t>11-A9--102 Rajindra nagar</t>
  </si>
  <si>
    <t>Jaypuria Society 78 A Kosambi</t>
  </si>
  <si>
    <t>1.5C</t>
  </si>
  <si>
    <t>1A0C</t>
  </si>
  <si>
    <t>pearl square pockt10-g4 rm</t>
  </si>
  <si>
    <t>KULDEEP SINGH</t>
  </si>
  <si>
    <t>Shikhar Enclave 903</t>
  </si>
  <si>
    <t>shivganga-3165</t>
  </si>
  <si>
    <t>15-71-gf</t>
  </si>
  <si>
    <t>SVD A-902</t>
  </si>
  <si>
    <t>SHILPI</t>
  </si>
  <si>
    <t>VAISHALI SEC -2B -PLOT- 311 FF</t>
  </si>
  <si>
    <t>1.5B</t>
  </si>
  <si>
    <t>12-418-tf</t>
  </si>
  <si>
    <t>GAUR Sirddhattm D540</t>
  </si>
  <si>
    <t>1B1C</t>
  </si>
  <si>
    <t>54 SWAROOP PARK gf</t>
  </si>
  <si>
    <t>MIGSUN-1610</t>
  </si>
  <si>
    <t>1A0B</t>
  </si>
  <si>
    <t>GC</t>
  </si>
  <si>
    <t>.5B</t>
  </si>
  <si>
    <t>VAISHALI SEC -2B -PLOT- 312 FF</t>
  </si>
  <si>
    <t>Sec 3/1345-GF</t>
  </si>
  <si>
    <t>16B-231FF</t>
  </si>
  <si>
    <t>16b-422 ff</t>
  </si>
  <si>
    <t>kapil</t>
  </si>
  <si>
    <t>403 sai kripa</t>
  </si>
  <si>
    <t>NEW</t>
  </si>
  <si>
    <t>Bhupendra Singh</t>
  </si>
  <si>
    <t>17C-417</t>
  </si>
  <si>
    <t>Ritik</t>
  </si>
  <si>
    <t>VAISHALI SEC -2B -PLOT- 313 gf</t>
  </si>
  <si>
    <t>6-54-301</t>
  </si>
  <si>
    <t xml:space="preserve">    </t>
  </si>
  <si>
    <t>6-171-S2</t>
  </si>
  <si>
    <t>SUMIT JI</t>
  </si>
  <si>
    <t>9-1-FF2 JUDGE COLONY</t>
  </si>
  <si>
    <t>17E-622 konark</t>
  </si>
  <si>
    <t>VAISHALI SEC -2B -PLOT- 312 GF1</t>
  </si>
  <si>
    <t>VAISHALI SEC -2B -PLOT- 312 GF2</t>
  </si>
  <si>
    <t>2A3B</t>
  </si>
  <si>
    <t>sahibabad</t>
  </si>
  <si>
    <t>3A0B</t>
  </si>
  <si>
    <t>sagar yadav</t>
  </si>
  <si>
    <t>5-1121-SF2</t>
  </si>
  <si>
    <t>126fb Lajpat nagar</t>
  </si>
  <si>
    <t>1.5c</t>
  </si>
  <si>
    <t>FREED MALIK</t>
  </si>
  <si>
    <t>A-501 Aditya city</t>
  </si>
  <si>
    <t>15-243-GF</t>
  </si>
  <si>
    <t>6-9-ff1</t>
  </si>
  <si>
    <t>R.K TOMER</t>
  </si>
  <si>
    <t>PALLAVI</t>
  </si>
  <si>
    <t>5-855-sf</t>
  </si>
  <si>
    <t>.5C</t>
  </si>
  <si>
    <t>Arunima Palace B-608</t>
  </si>
  <si>
    <t>SVD A-308</t>
  </si>
  <si>
    <t>KAPIL TYAGI</t>
  </si>
  <si>
    <t>Vaishali, Sec-2-27</t>
  </si>
  <si>
    <t>3-718</t>
  </si>
  <si>
    <t>Vaishali, Sec-3-773FF</t>
  </si>
  <si>
    <t>719GF</t>
  </si>
  <si>
    <t>Kosambi Sail Society A-1106</t>
  </si>
  <si>
    <t>Kosambi Sail Society A-1204</t>
  </si>
  <si>
    <t>HEMA</t>
  </si>
  <si>
    <t>SVD-A-1501</t>
  </si>
  <si>
    <t>VASUDHA- D3</t>
  </si>
  <si>
    <t>1B1CA0</t>
  </si>
  <si>
    <t>VASHUNDHRA-3</t>
  </si>
  <si>
    <t>doc parck B-102</t>
  </si>
  <si>
    <t>6-121-G1</t>
  </si>
  <si>
    <t>9-1-SF2</t>
  </si>
  <si>
    <t>16b-425gf</t>
  </si>
  <si>
    <t>ROSHAN</t>
  </si>
  <si>
    <t>SRIDHA VILLA T3-S1</t>
  </si>
  <si>
    <t>.5b</t>
  </si>
  <si>
    <t>KONARK E-428</t>
  </si>
  <si>
    <t>Officer city 1-J -1303</t>
  </si>
  <si>
    <t>Green view H-309</t>
  </si>
  <si>
    <t>classic residency j-B2-601</t>
  </si>
  <si>
    <t>Prateek grand P7-2402</t>
  </si>
  <si>
    <t>Siddhart Vihar</t>
  </si>
  <si>
    <t>Plot 14-102 shalimar</t>
  </si>
  <si>
    <t>6-2-26-GF</t>
  </si>
  <si>
    <t>6-171-S3</t>
  </si>
  <si>
    <t>samim bhai</t>
  </si>
  <si>
    <t>NK-1-376- GF1</t>
  </si>
  <si>
    <t>akansha</t>
  </si>
  <si>
    <t>SUMIT</t>
  </si>
  <si>
    <t>UNI27</t>
  </si>
  <si>
    <t>62FB BLOCK F</t>
  </si>
  <si>
    <t>2B-442-gf</t>
  </si>
  <si>
    <t>D-607 SHIFT</t>
  </si>
  <si>
    <t>Alam</t>
  </si>
  <si>
    <t>6-2-26-ugf1</t>
  </si>
  <si>
    <t>ravipal</t>
  </si>
  <si>
    <t>9/2/7-UG1</t>
  </si>
  <si>
    <t>Officer City-H-208</t>
  </si>
  <si>
    <t>JG-2 Aditya mega city</t>
  </si>
  <si>
    <t>Drona Giri Sec 11-D 610</t>
  </si>
  <si>
    <t>Officer city 1-J -1304</t>
  </si>
  <si>
    <t>2.5B</t>
  </si>
  <si>
    <t>.5c</t>
  </si>
  <si>
    <t>10D-124-F1</t>
  </si>
  <si>
    <t>KONARK E-625</t>
  </si>
  <si>
    <t>2A0</t>
  </si>
  <si>
    <t>D2-153 NK2</t>
  </si>
  <si>
    <t>B2 4-334</t>
  </si>
  <si>
    <t>SVD-D-1107</t>
  </si>
  <si>
    <t>5-869-SF</t>
  </si>
  <si>
    <t>2.5b1.5c</t>
  </si>
  <si>
    <t>SANDEEP MILK</t>
  </si>
  <si>
    <t>PIYUSH</t>
  </si>
  <si>
    <t>10D-37-FF1</t>
  </si>
  <si>
    <t>5-859 ff</t>
  </si>
  <si>
    <t>5-802 ff</t>
  </si>
  <si>
    <t>578-FF</t>
  </si>
  <si>
    <t>Sec 5-582gf</t>
  </si>
  <si>
    <t>6-54-101</t>
  </si>
  <si>
    <t>1-523-ug1</t>
  </si>
  <si>
    <t>NCRB-45</t>
  </si>
  <si>
    <t>5-1114-sf</t>
  </si>
  <si>
    <t>Charms castle B-402</t>
  </si>
  <si>
    <t>sayagold-5-2301</t>
  </si>
  <si>
    <t>Aditya mega city B-402</t>
  </si>
  <si>
    <t>15-15</t>
  </si>
  <si>
    <t>2c-306-gf</t>
  </si>
  <si>
    <t>2C-306-F1</t>
  </si>
  <si>
    <t>2C-193</t>
  </si>
  <si>
    <t>4A-2021</t>
  </si>
  <si>
    <t>4A-1060</t>
  </si>
  <si>
    <t>SG Homes A-701</t>
  </si>
  <si>
    <t>5-824-FF</t>
  </si>
  <si>
    <t>2A-37 FF</t>
  </si>
  <si>
    <t>2B-406</t>
  </si>
  <si>
    <t>Deepak Mama</t>
  </si>
  <si>
    <t>S. BAD-1</t>
  </si>
  <si>
    <t>S. BAD-2</t>
  </si>
  <si>
    <t>S. BAD-3</t>
  </si>
  <si>
    <t>S. BAD-6</t>
  </si>
  <si>
    <t>S. BAD-7</t>
  </si>
  <si>
    <t>JYOTI</t>
  </si>
  <si>
    <t>SANJU</t>
  </si>
  <si>
    <t>SHIVANGI</t>
  </si>
  <si>
    <t>RAJU TOMER</t>
  </si>
  <si>
    <t>SHAVNI</t>
  </si>
  <si>
    <t>GAUR F-553</t>
  </si>
  <si>
    <t>sumit milk</t>
  </si>
  <si>
    <t>6/60/TF</t>
  </si>
  <si>
    <t>shivganga-3133</t>
  </si>
  <si>
    <t>payment</t>
  </si>
  <si>
    <t>2C-306-SF</t>
  </si>
  <si>
    <t>52-SF2</t>
  </si>
  <si>
    <t>2.5C</t>
  </si>
  <si>
    <t>6-140-g4</t>
  </si>
  <si>
    <t>Shiksha Apparment</t>
  </si>
  <si>
    <t>sec-6-H1-5</t>
  </si>
  <si>
    <t>1A2C</t>
  </si>
  <si>
    <t>Niti Khand 3-41 gf</t>
  </si>
  <si>
    <t>doc parck B-501</t>
  </si>
  <si>
    <t>Pragya Kunj -2109</t>
  </si>
  <si>
    <t>MIGSUN-1612</t>
  </si>
  <si>
    <t>Gali-4-159 Abhaykhand-1</t>
  </si>
  <si>
    <t>14-458-sf</t>
  </si>
  <si>
    <t xml:space="preserve">                                                                                                </t>
  </si>
  <si>
    <t>10D-124-TF1</t>
  </si>
  <si>
    <t>Royal lengecy G-906</t>
  </si>
  <si>
    <t>jitendra singh</t>
  </si>
  <si>
    <t>SG GRAND-E-705</t>
  </si>
  <si>
    <t>Royal lengecy S-603</t>
  </si>
  <si>
    <t>Guard Aditya city</t>
  </si>
  <si>
    <t>0.5b</t>
  </si>
  <si>
    <t>guard</t>
  </si>
  <si>
    <t>LAXMAN</t>
  </si>
  <si>
    <t>15-1140</t>
  </si>
  <si>
    <t>neelu singh</t>
  </si>
  <si>
    <t>Akash ganga-4026</t>
  </si>
  <si>
    <t>SVD-C-1002</t>
  </si>
  <si>
    <t>SVD-D-113</t>
  </si>
  <si>
    <t>1-196-GF</t>
  </si>
  <si>
    <t>1-699-3RD FLOOR</t>
  </si>
  <si>
    <t>581-SF</t>
  </si>
  <si>
    <t>RINKLE SINGH</t>
  </si>
  <si>
    <t xml:space="preserve">  4B -1095</t>
  </si>
  <si>
    <t xml:space="preserve">  </t>
  </si>
  <si>
    <t>MON-WED-FRI</t>
  </si>
  <si>
    <t>5-1243-ugf</t>
  </si>
  <si>
    <t>3c</t>
  </si>
  <si>
    <t>J-107 M</t>
  </si>
  <si>
    <t>5-1108-GF</t>
  </si>
  <si>
    <t>2-138D-SF</t>
  </si>
  <si>
    <t>10D-2-GF</t>
  </si>
  <si>
    <t>Ranjeta</t>
  </si>
  <si>
    <t>S. BAD-8</t>
  </si>
  <si>
    <t>NK-1-438-ugf</t>
  </si>
  <si>
    <t>.5CA0</t>
  </si>
  <si>
    <t>jonty</t>
  </si>
  <si>
    <t>6_2-30</t>
  </si>
  <si>
    <t>GALI NO 3</t>
  </si>
  <si>
    <t>PARSHANT JAIN</t>
  </si>
  <si>
    <t>2B-442-FF</t>
  </si>
  <si>
    <t>4A-2032</t>
  </si>
  <si>
    <t>Vishwajeet</t>
  </si>
  <si>
    <t>Shivani hotel</t>
  </si>
  <si>
    <t>Jaypuria Society H.N-3</t>
  </si>
  <si>
    <t>14-629-2 bell</t>
  </si>
  <si>
    <t>Nisha</t>
  </si>
  <si>
    <t>new</t>
  </si>
  <si>
    <t>Rahmani</t>
  </si>
  <si>
    <t>16b-458</t>
  </si>
  <si>
    <t>Ashinana</t>
  </si>
  <si>
    <t>palm court P4-724</t>
  </si>
  <si>
    <t>12-418-UGF2</t>
  </si>
  <si>
    <t>Shiv ganga 1133</t>
  </si>
  <si>
    <t>pk-3070</t>
  </si>
  <si>
    <t>Nirmal Mishra</t>
  </si>
  <si>
    <t>D-1406,KM RESIDENCY</t>
  </si>
  <si>
    <t>CHOTELAL</t>
  </si>
  <si>
    <t>CHOTELAL-2</t>
  </si>
  <si>
    <t>River Height T11-C-943</t>
  </si>
  <si>
    <t>kapil sharma</t>
  </si>
  <si>
    <t>2AA1</t>
  </si>
  <si>
    <t>SUMIT DEALER</t>
  </si>
  <si>
    <t>cloude 9</t>
  </si>
  <si>
    <t>SEC-14 A/ ASHOKA SOCIETY  HN-31</t>
  </si>
  <si>
    <t>14-458-gf</t>
  </si>
  <si>
    <t>ANIL</t>
  </si>
  <si>
    <t>Aman tyagi</t>
  </si>
  <si>
    <t>CHAI WALA</t>
  </si>
  <si>
    <t>2A1-A0A</t>
  </si>
  <si>
    <t>13-1053</t>
  </si>
  <si>
    <t>166-f3</t>
  </si>
  <si>
    <t>175-401</t>
  </si>
  <si>
    <t>1-514-sf3</t>
  </si>
  <si>
    <t>4/334 D 1</t>
  </si>
  <si>
    <t>jashveer yadav</t>
  </si>
  <si>
    <t>Flat no.H3  Plot 5or6 Shalimar EX 4</t>
  </si>
  <si>
    <t>16SE1</t>
  </si>
  <si>
    <t>LAVISH YADAV</t>
  </si>
  <si>
    <t>palm court P4-723</t>
  </si>
  <si>
    <t>1-122-SF</t>
  </si>
  <si>
    <t>16A-512</t>
  </si>
  <si>
    <t>6-98-s4</t>
  </si>
  <si>
    <t>1.5C,1BA0</t>
  </si>
  <si>
    <t>SANDEEP</t>
  </si>
  <si>
    <t>4KO</t>
  </si>
  <si>
    <t>11-736-FF</t>
  </si>
  <si>
    <t>Rajendra rawat</t>
  </si>
  <si>
    <t>6-2-27-gf</t>
  </si>
  <si>
    <t>100 GM PNEER</t>
  </si>
  <si>
    <t>Premlata</t>
  </si>
  <si>
    <t>26 se</t>
  </si>
  <si>
    <t>2B-686-TF</t>
  </si>
  <si>
    <t>6-149-303</t>
  </si>
  <si>
    <t>12KO</t>
  </si>
  <si>
    <t>11KO</t>
  </si>
  <si>
    <t>6/175/203</t>
  </si>
  <si>
    <t>6-74-302</t>
  </si>
  <si>
    <t>6-50-f4</t>
  </si>
  <si>
    <t>AR ELYSIUM</t>
  </si>
  <si>
    <t>1KO</t>
  </si>
  <si>
    <t>Ksn Square-1302</t>
  </si>
  <si>
    <t>686tf</t>
  </si>
  <si>
    <t>21ko</t>
  </si>
  <si>
    <t>2ko</t>
  </si>
  <si>
    <t>VASUNDHRA1-   January-26</t>
  </si>
  <si>
    <t>Vashundhar_2  DELIVERY SHEET:                                        January-26</t>
  </si>
  <si>
    <t>VASUNDHRA-3 DELIVERY SHEET:                               January-26</t>
  </si>
  <si>
    <t>Shalimar_Ext  DELIVERY SHEET:                                      January-26</t>
  </si>
  <si>
    <t>VAISHALI OLD  DELIVERY SHEET:                                 January-26</t>
  </si>
  <si>
    <t>RAJNAGAR EXT.  DELIVERY SHEET:                        January-26</t>
  </si>
  <si>
    <t>VAISHALI 1  DELIVERY SHEET:                            January-26</t>
  </si>
  <si>
    <t>Shop Customer  DELIVERY SHEET:                             January-26</t>
  </si>
  <si>
    <t>Siddhart Vihar DELIVERY SHEET:                                 January-26</t>
  </si>
  <si>
    <t>JAN</t>
  </si>
  <si>
    <t>17G-405-SF/17G-104</t>
  </si>
  <si>
    <t>Avnish Mishra</t>
  </si>
  <si>
    <t>1kg cream</t>
  </si>
  <si>
    <t>collct bottles,call</t>
  </si>
  <si>
    <t>250mkhn1.5ghi1pnr</t>
  </si>
  <si>
    <t>250PNEER</t>
  </si>
  <si>
    <t>3KO</t>
  </si>
  <si>
    <t>.5Klaknd,ladu,brfi nryl</t>
  </si>
  <si>
    <t>.5KG KHOYA,1bottle</t>
  </si>
  <si>
    <t>mon ko</t>
  </si>
  <si>
    <t>.5KG KHOYA</t>
  </si>
  <si>
    <t>250g khoya</t>
  </si>
  <si>
    <t>250g paneer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</si>
</sst>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0.0;[Red]0.0"/>
  </numFmts>
  <fonts count="17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0" applyFont="1" applyFill="1"/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5" fillId="3" borderId="5" xfId="0" applyFont="1" applyFill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10" fillId="6" borderId="5" xfId="0" applyFont="1" applyFill="1" applyBorder="1" applyAlignment="1">
      <alignment horizontal="center" wrapText="1"/>
    </xf>
    <xf numFmtId="0" fontId="10" fillId="6" borderId="6" xfId="0" applyFont="1" applyFill="1" applyBorder="1" applyAlignment="1">
      <alignment horizontal="center" wrapText="1"/>
    </xf>
    <xf numFmtId="0" fontId="11" fillId="6" borderId="4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1" fillId="6" borderId="16" xfId="0" applyFont="1" applyFill="1" applyBorder="1" applyAlignment="1">
      <alignment horizontal="center"/>
    </xf>
    <xf numFmtId="0" fontId="11" fillId="6" borderId="17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1" fontId="4" fillId="0" borderId="5" xfId="0" applyNumberFormat="1" applyFont="1" applyBorder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4" fillId="0" borderId="5" xfId="0" applyFont="1" applyBorder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4" fillId="5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 vertical="center"/>
    </xf>
    <xf numFmtId="16" fontId="4" fillId="8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distributed"/>
    </xf>
    <xf numFmtId="0" fontId="14" fillId="0" borderId="5" xfId="0" applyFont="1" applyBorder="1" applyAlignment="1">
      <alignment horizontal="center"/>
    </xf>
    <xf numFmtId="0" fontId="12" fillId="4" borderId="5" xfId="0" applyFont="1" applyFill="1" applyBorder="1" applyAlignment="1">
      <alignment horizontal="center" vertical="center"/>
    </xf>
    <xf numFmtId="0" fontId="1" fillId="0" borderId="5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3" fillId="0" borderId="5" xfId="0" applyFont="1" applyFill="1" applyBorder="1"/>
    <xf numFmtId="0" fontId="4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/>
    </xf>
    <xf numFmtId="0" fontId="0" fillId="0" borderId="0" xfId="0" quotePrefix="1"/>
    <xf numFmtId="0" fontId="4" fillId="0" borderId="0" xfId="0" applyFont="1" applyBorder="1" applyAlignment="1">
      <alignment vertical="center"/>
    </xf>
    <xf numFmtId="14" fontId="7" fillId="0" borderId="11" xfId="0" applyNumberFormat="1" applyFont="1" applyBorder="1" applyAlignment="1">
      <alignment horizontal="center" vertical="center"/>
    </xf>
    <xf numFmtId="14" fontId="5" fillId="3" borderId="5" xfId="1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wrapText="1"/>
    </xf>
    <xf numFmtId="0" fontId="9" fillId="6" borderId="2" xfId="0" applyFont="1" applyFill="1" applyBorder="1" applyAlignment="1">
      <alignment horizontal="center" wrapText="1"/>
    </xf>
    <xf numFmtId="0" fontId="9" fillId="6" borderId="3" xfId="0" applyFont="1" applyFill="1" applyBorder="1" applyAlignment="1">
      <alignment horizontal="center" wrapText="1"/>
    </xf>
    <xf numFmtId="0" fontId="10" fillId="6" borderId="4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5"/>
  <sheetViews>
    <sheetView topLeftCell="A16" zoomScaleNormal="100" workbookViewId="0">
      <selection activeCell="F26" sqref="F26"/>
    </sheetView>
  </sheetViews>
  <sheetFormatPr defaultColWidth="9.140625" defaultRowHeight="23.25"/>
  <cols>
    <col min="1" max="1" width="8.7109375" style="35" bestFit="1" customWidth="1"/>
    <col min="2" max="2" width="29.5703125" style="35" bestFit="1" customWidth="1"/>
    <col min="3" max="3" width="35.42578125" style="35" bestFit="1" customWidth="1"/>
    <col min="4" max="4" width="19.85546875" style="35" bestFit="1" customWidth="1"/>
    <col min="5" max="5" width="20.85546875" style="35" bestFit="1" customWidth="1"/>
    <col min="6" max="6" width="6.42578125" style="35" bestFit="1" customWidth="1"/>
    <col min="7" max="7" width="5.5703125" style="35" customWidth="1"/>
    <col min="8" max="8" width="36.5703125" style="35" bestFit="1" customWidth="1"/>
    <col min="9" max="9" width="8.85546875" style="35" bestFit="1" customWidth="1"/>
    <col min="10" max="11" width="9.140625" style="35"/>
    <col min="12" max="12" width="76.5703125" style="35" bestFit="1" customWidth="1"/>
    <col min="13" max="13" width="8.85546875" style="35" customWidth="1"/>
    <col min="14" max="16384" width="9.140625" style="35"/>
  </cols>
  <sheetData>
    <row r="1" spans="1:19">
      <c r="A1" s="86" t="s">
        <v>463</v>
      </c>
      <c r="B1" s="86"/>
      <c r="C1" s="86"/>
      <c r="D1" s="86"/>
      <c r="E1" s="86"/>
      <c r="F1" s="86"/>
      <c r="G1" s="86"/>
      <c r="H1" s="86"/>
      <c r="I1" s="38">
        <v>1</v>
      </c>
      <c r="J1" s="84"/>
      <c r="K1" s="84"/>
      <c r="L1" s="84"/>
      <c r="M1" s="84"/>
      <c r="N1" s="84"/>
      <c r="O1" s="84"/>
      <c r="P1" s="84"/>
      <c r="Q1" s="84"/>
      <c r="R1" s="84"/>
      <c r="S1" s="84"/>
    </row>
    <row r="2" spans="1:19">
      <c r="A2" s="36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6" t="s">
        <v>5</v>
      </c>
      <c r="G2" s="36" t="s">
        <v>6</v>
      </c>
      <c r="H2" s="11" t="s">
        <v>7</v>
      </c>
      <c r="I2" s="11" t="s">
        <v>8</v>
      </c>
      <c r="J2" s="84"/>
      <c r="K2" s="84"/>
      <c r="L2" s="84"/>
      <c r="M2" s="84"/>
      <c r="N2" s="84"/>
      <c r="O2" s="84"/>
      <c r="P2" s="84"/>
      <c r="Q2" s="84"/>
      <c r="R2" s="84"/>
      <c r="S2" s="84"/>
    </row>
    <row r="3" spans="1:19">
      <c r="A3" s="34">
        <v>1</v>
      </c>
      <c r="B3" s="34" t="s">
        <v>23</v>
      </c>
      <c r="C3" s="34" t="s">
        <v>264</v>
      </c>
      <c r="D3" s="34">
        <v>8178029153</v>
      </c>
      <c r="E3" s="34" t="s">
        <v>55</v>
      </c>
      <c r="F3" s="34">
        <v>2</v>
      </c>
      <c r="G3" s="34"/>
      <c r="H3" s="34"/>
      <c r="I3" s="34"/>
      <c r="J3" s="84"/>
      <c r="K3" s="84"/>
      <c r="L3" s="84"/>
      <c r="M3" s="84"/>
      <c r="N3" s="84"/>
      <c r="O3" s="84"/>
      <c r="P3" s="84"/>
      <c r="Q3" s="84"/>
      <c r="R3" s="84"/>
      <c r="S3" s="84"/>
    </row>
    <row r="4" spans="1:19">
      <c r="A4" s="34">
        <v>2</v>
      </c>
      <c r="B4" s="34" t="s">
        <v>13</v>
      </c>
      <c r="C4" s="34" t="s">
        <v>14</v>
      </c>
      <c r="D4" s="34">
        <v>7009497587</v>
      </c>
      <c r="E4" s="34">
        <v>2</v>
      </c>
      <c r="F4" s="34">
        <v>2</v>
      </c>
      <c r="G4" s="34"/>
      <c r="H4" s="34"/>
      <c r="I4" s="34"/>
      <c r="J4" s="84"/>
      <c r="K4" s="84"/>
      <c r="L4" s="84"/>
      <c r="M4" s="84"/>
      <c r="N4" s="84"/>
      <c r="O4" s="84"/>
      <c r="P4" s="84"/>
      <c r="Q4" s="84"/>
      <c r="R4" s="84"/>
      <c r="S4" s="84"/>
    </row>
    <row r="5" spans="1:19">
      <c r="A5" s="34">
        <v>3</v>
      </c>
      <c r="B5" s="34"/>
      <c r="C5" s="34" t="s">
        <v>171</v>
      </c>
      <c r="D5" s="34">
        <v>7065590072</v>
      </c>
      <c r="E5" s="34" t="s">
        <v>10</v>
      </c>
      <c r="F5" s="34">
        <v>1</v>
      </c>
      <c r="G5" s="34"/>
      <c r="H5" s="34"/>
      <c r="I5" s="34"/>
      <c r="J5" s="84"/>
      <c r="K5" s="84"/>
      <c r="L5" s="84"/>
      <c r="M5" s="84"/>
      <c r="N5" s="84"/>
      <c r="O5" s="84"/>
      <c r="P5" s="84"/>
      <c r="Q5" s="84"/>
      <c r="R5" s="84"/>
      <c r="S5" s="84"/>
    </row>
    <row r="6" spans="1:19" ht="28.5" customHeight="1">
      <c r="A6" s="34">
        <v>4</v>
      </c>
      <c r="B6" s="34"/>
      <c r="C6" s="34" t="s">
        <v>358</v>
      </c>
      <c r="D6" s="34">
        <v>8510966648</v>
      </c>
      <c r="E6" s="34" t="s">
        <v>55</v>
      </c>
      <c r="F6" s="34">
        <v>0</v>
      </c>
      <c r="G6" s="34"/>
      <c r="H6" s="34" t="s">
        <v>159</v>
      </c>
      <c r="I6" s="34"/>
      <c r="J6" s="84"/>
      <c r="K6" s="84"/>
      <c r="L6" s="84"/>
      <c r="M6" s="84"/>
      <c r="N6" s="84"/>
      <c r="O6" s="84"/>
      <c r="P6" s="84"/>
      <c r="Q6" s="84"/>
      <c r="R6" s="84"/>
      <c r="S6" s="84"/>
    </row>
    <row r="7" spans="1:19">
      <c r="A7" s="34">
        <v>5</v>
      </c>
      <c r="B7" s="34" t="s">
        <v>15</v>
      </c>
      <c r="C7" s="34" t="s">
        <v>16</v>
      </c>
      <c r="D7" s="34">
        <v>9818128319</v>
      </c>
      <c r="E7" s="34" t="s">
        <v>130</v>
      </c>
      <c r="F7" s="34">
        <v>1</v>
      </c>
      <c r="G7" s="34"/>
      <c r="H7" s="34"/>
      <c r="I7" s="34"/>
      <c r="J7" s="84"/>
      <c r="K7" s="84"/>
      <c r="L7" s="84"/>
      <c r="M7" s="84"/>
      <c r="N7" s="84"/>
      <c r="O7" s="84"/>
      <c r="P7" s="84"/>
      <c r="Q7" s="84"/>
      <c r="R7" s="84"/>
      <c r="S7" s="84"/>
    </row>
    <row r="8" spans="1:19">
      <c r="A8" s="34">
        <v>6</v>
      </c>
      <c r="B8" s="34" t="s">
        <v>18</v>
      </c>
      <c r="C8" s="34" t="s">
        <v>19</v>
      </c>
      <c r="D8" s="34">
        <v>9650853895</v>
      </c>
      <c r="E8" s="34" t="s">
        <v>20</v>
      </c>
      <c r="F8" s="34">
        <v>0</v>
      </c>
      <c r="G8" s="34"/>
      <c r="H8" s="34"/>
      <c r="I8" s="34"/>
      <c r="J8" s="84"/>
      <c r="K8" s="84"/>
      <c r="L8" s="84"/>
      <c r="M8" s="84"/>
      <c r="N8" s="84"/>
      <c r="O8" s="84"/>
      <c r="P8" s="84"/>
      <c r="Q8" s="84"/>
      <c r="R8" s="84"/>
      <c r="S8" s="84"/>
    </row>
    <row r="9" spans="1:19">
      <c r="A9" s="34">
        <v>7</v>
      </c>
      <c r="B9" s="34" t="s">
        <v>412</v>
      </c>
      <c r="C9" s="34" t="s">
        <v>411</v>
      </c>
      <c r="D9" s="34">
        <v>9953309810</v>
      </c>
      <c r="E9" s="34" t="s">
        <v>38</v>
      </c>
      <c r="F9" s="34"/>
      <c r="G9" s="34">
        <v>0</v>
      </c>
      <c r="H9" s="34" t="s">
        <v>482</v>
      </c>
      <c r="I9" s="34"/>
      <c r="J9" s="84"/>
      <c r="K9" s="84"/>
      <c r="L9" s="84"/>
      <c r="M9" s="84"/>
      <c r="N9" s="84"/>
      <c r="O9" s="84"/>
      <c r="P9" s="84"/>
      <c r="Q9" s="84"/>
      <c r="R9" s="84"/>
      <c r="S9" s="84"/>
    </row>
    <row r="10" spans="1:19">
      <c r="A10" s="34">
        <v>8</v>
      </c>
      <c r="B10" s="4" t="s">
        <v>142</v>
      </c>
      <c r="C10" s="5" t="s">
        <v>143</v>
      </c>
      <c r="D10" s="4">
        <v>9871300336</v>
      </c>
      <c r="E10" s="4" t="s">
        <v>11</v>
      </c>
      <c r="F10" s="4">
        <v>1</v>
      </c>
      <c r="G10" s="4"/>
      <c r="H10" s="63" t="s">
        <v>485</v>
      </c>
      <c r="I10" s="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spans="1:19">
      <c r="A11" s="34">
        <v>9</v>
      </c>
      <c r="B11" s="4"/>
      <c r="C11" s="5" t="s">
        <v>205</v>
      </c>
      <c r="D11" s="4">
        <v>9718711407</v>
      </c>
      <c r="E11" s="4" t="s">
        <v>187</v>
      </c>
      <c r="F11" s="4">
        <v>0</v>
      </c>
      <c r="G11" s="4"/>
      <c r="H11" s="4" t="s">
        <v>159</v>
      </c>
      <c r="I11" s="4"/>
      <c r="J11" s="84"/>
      <c r="K11" s="84"/>
      <c r="L11" s="84"/>
      <c r="M11" s="84"/>
      <c r="N11" s="84"/>
      <c r="O11" s="84"/>
      <c r="P11" s="84"/>
      <c r="Q11" s="84"/>
      <c r="R11" s="84"/>
      <c r="S11" s="84"/>
    </row>
    <row r="12" spans="1:19">
      <c r="A12" s="34">
        <v>10</v>
      </c>
      <c r="B12" s="4"/>
      <c r="C12" s="5" t="s">
        <v>347</v>
      </c>
      <c r="D12" s="4">
        <v>9911912160</v>
      </c>
      <c r="E12" s="4" t="s">
        <v>38</v>
      </c>
      <c r="F12" s="4"/>
      <c r="G12" s="4">
        <v>0</v>
      </c>
      <c r="H12" s="4" t="s">
        <v>159</v>
      </c>
      <c r="I12" s="4"/>
      <c r="J12" s="84"/>
      <c r="K12" s="84"/>
      <c r="L12" s="84"/>
      <c r="M12" s="84"/>
      <c r="N12" s="84"/>
      <c r="O12" s="84"/>
      <c r="P12" s="84"/>
      <c r="Q12" s="84"/>
      <c r="R12" s="84"/>
      <c r="S12" s="84"/>
    </row>
    <row r="13" spans="1:19">
      <c r="A13" s="34">
        <v>11</v>
      </c>
      <c r="B13" s="4" t="s">
        <v>353</v>
      </c>
      <c r="C13" s="5" t="s">
        <v>354</v>
      </c>
      <c r="D13" s="4">
        <v>9625540018</v>
      </c>
      <c r="E13" s="4" t="s">
        <v>55</v>
      </c>
      <c r="F13" s="4">
        <v>2</v>
      </c>
      <c r="G13" s="4"/>
      <c r="H13" s="4"/>
      <c r="I13" s="4"/>
      <c r="J13" s="84"/>
      <c r="K13" s="84"/>
      <c r="L13" s="84"/>
      <c r="M13" s="84"/>
      <c r="N13" s="84"/>
      <c r="O13" s="84"/>
      <c r="P13" s="84"/>
      <c r="Q13" s="84"/>
      <c r="R13" s="84"/>
      <c r="S13" s="84"/>
    </row>
    <row r="14" spans="1:19">
      <c r="A14" s="34">
        <v>12</v>
      </c>
      <c r="B14" s="34"/>
      <c r="C14" s="34" t="s">
        <v>326</v>
      </c>
      <c r="D14" s="34">
        <v>8882604579</v>
      </c>
      <c r="E14" s="34" t="s">
        <v>38</v>
      </c>
      <c r="F14" s="34"/>
      <c r="G14" s="34">
        <v>1</v>
      </c>
      <c r="H14" s="34"/>
      <c r="I14" s="34"/>
      <c r="J14" s="84"/>
      <c r="K14" s="84"/>
      <c r="L14" s="84"/>
      <c r="M14" s="84"/>
      <c r="N14" s="84"/>
      <c r="O14" s="84"/>
      <c r="P14" s="84"/>
      <c r="Q14" s="84"/>
      <c r="R14" s="84"/>
      <c r="S14" s="84"/>
    </row>
    <row r="15" spans="1:19">
      <c r="A15" s="34">
        <v>13</v>
      </c>
      <c r="B15" s="34"/>
      <c r="C15" s="34" t="s">
        <v>324</v>
      </c>
      <c r="D15" s="34">
        <v>9953410100</v>
      </c>
      <c r="E15" s="34" t="s">
        <v>299</v>
      </c>
      <c r="F15" s="34">
        <v>2.5</v>
      </c>
      <c r="G15" s="34"/>
      <c r="H15" s="34"/>
      <c r="I15" s="34"/>
      <c r="J15" s="84"/>
      <c r="K15" s="84"/>
      <c r="L15" s="84"/>
      <c r="M15" s="84"/>
      <c r="N15" s="84"/>
      <c r="O15" s="84"/>
      <c r="P15" s="84"/>
      <c r="Q15" s="84"/>
      <c r="R15" s="84"/>
      <c r="S15" s="84"/>
    </row>
    <row r="16" spans="1:19">
      <c r="A16" s="34">
        <v>14</v>
      </c>
      <c r="B16" s="34"/>
      <c r="C16" s="34" t="s">
        <v>325</v>
      </c>
      <c r="D16" s="34">
        <v>9212884853</v>
      </c>
      <c r="E16" s="34" t="s">
        <v>55</v>
      </c>
      <c r="F16" s="34">
        <v>2</v>
      </c>
      <c r="G16" s="34"/>
      <c r="H16" s="34"/>
      <c r="I16" s="34"/>
      <c r="J16" s="84"/>
      <c r="K16" s="84"/>
      <c r="L16" s="84"/>
      <c r="M16" s="84"/>
      <c r="N16" s="84"/>
      <c r="O16" s="84"/>
      <c r="P16" s="84"/>
      <c r="Q16" s="84"/>
      <c r="R16" s="84"/>
      <c r="S16" s="84"/>
    </row>
    <row r="17" spans="1:19">
      <c r="A17" s="34">
        <v>15</v>
      </c>
      <c r="B17" s="34"/>
      <c r="C17" s="34" t="s">
        <v>349</v>
      </c>
      <c r="D17" s="34">
        <v>9910608673</v>
      </c>
      <c r="E17" s="34" t="s">
        <v>210</v>
      </c>
      <c r="F17" s="34">
        <v>1.5</v>
      </c>
      <c r="G17" s="34"/>
      <c r="H17" s="34"/>
      <c r="I17" s="34"/>
      <c r="J17" s="84"/>
      <c r="K17" s="84"/>
      <c r="L17" s="84" t="s">
        <v>362</v>
      </c>
      <c r="M17" s="84"/>
      <c r="N17" s="84"/>
      <c r="O17" s="84"/>
      <c r="P17" s="84"/>
      <c r="Q17" s="84"/>
      <c r="R17" s="84"/>
      <c r="S17" s="84"/>
    </row>
    <row r="18" spans="1:19">
      <c r="A18" s="34">
        <v>16</v>
      </c>
      <c r="B18" s="4"/>
      <c r="C18" s="5" t="s">
        <v>129</v>
      </c>
      <c r="D18" s="4">
        <v>9811883345</v>
      </c>
      <c r="E18" s="4" t="s">
        <v>130</v>
      </c>
      <c r="F18" s="4">
        <v>0</v>
      </c>
      <c r="G18" s="4"/>
      <c r="H18" s="4"/>
      <c r="I18" s="4"/>
      <c r="J18" s="84"/>
      <c r="K18" s="84"/>
      <c r="L18" s="84"/>
      <c r="M18" s="84"/>
      <c r="N18" s="84"/>
      <c r="O18" s="84"/>
      <c r="P18" s="84"/>
      <c r="Q18" s="84"/>
      <c r="R18" s="84"/>
      <c r="S18" s="84"/>
    </row>
    <row r="19" spans="1:19">
      <c r="A19" s="34">
        <v>17</v>
      </c>
      <c r="B19" s="4"/>
      <c r="C19" s="5" t="s">
        <v>28</v>
      </c>
      <c r="D19" s="4">
        <v>9811963708</v>
      </c>
      <c r="E19" s="4" t="s">
        <v>11</v>
      </c>
      <c r="F19" s="4">
        <v>1</v>
      </c>
      <c r="G19" s="4"/>
      <c r="H19" s="4"/>
      <c r="I19" s="4"/>
      <c r="J19" s="84"/>
      <c r="K19" s="84"/>
      <c r="L19" s="84"/>
      <c r="M19" s="84"/>
      <c r="N19" s="84"/>
      <c r="O19" s="84"/>
      <c r="P19" s="84"/>
      <c r="Q19" s="84"/>
      <c r="R19" s="84"/>
      <c r="S19" s="84"/>
    </row>
    <row r="20" spans="1:19">
      <c r="A20" s="34">
        <v>18</v>
      </c>
      <c r="B20" s="34" t="s">
        <v>21</v>
      </c>
      <c r="C20" s="34" t="s">
        <v>22</v>
      </c>
      <c r="D20" s="34">
        <v>8920695146</v>
      </c>
      <c r="E20" s="34">
        <v>1.5</v>
      </c>
      <c r="F20" s="34">
        <v>1.5</v>
      </c>
      <c r="G20" s="34"/>
      <c r="H20" s="34"/>
      <c r="I20" s="34"/>
      <c r="J20" s="84"/>
      <c r="K20" s="84"/>
      <c r="L20" s="84"/>
      <c r="M20" s="84"/>
      <c r="N20" s="84"/>
      <c r="O20" s="84"/>
      <c r="P20" s="84"/>
      <c r="Q20" s="84"/>
      <c r="R20" s="84"/>
      <c r="S20" s="84"/>
    </row>
    <row r="21" spans="1:19">
      <c r="A21" s="34">
        <v>19</v>
      </c>
      <c r="B21" s="34"/>
      <c r="C21" s="34" t="s">
        <v>374</v>
      </c>
      <c r="D21" s="34">
        <v>9999160597</v>
      </c>
      <c r="E21" s="34" t="s">
        <v>38</v>
      </c>
      <c r="F21" s="34"/>
      <c r="G21" s="34">
        <v>0</v>
      </c>
      <c r="H21" s="34" t="s">
        <v>159</v>
      </c>
      <c r="I21" s="34"/>
      <c r="J21" s="84"/>
      <c r="K21" s="84"/>
      <c r="L21" s="84"/>
      <c r="M21" s="84"/>
      <c r="N21" s="84"/>
      <c r="O21" s="84"/>
      <c r="P21" s="84"/>
      <c r="Q21" s="84"/>
      <c r="R21" s="84"/>
      <c r="S21" s="84"/>
    </row>
    <row r="22" spans="1:19">
      <c r="A22" s="34">
        <v>20</v>
      </c>
      <c r="B22" s="4" t="s">
        <v>285</v>
      </c>
      <c r="C22" s="5" t="s">
        <v>197</v>
      </c>
      <c r="D22" s="4">
        <v>6397861741</v>
      </c>
      <c r="E22" s="4" t="s">
        <v>11</v>
      </c>
      <c r="F22" s="4">
        <v>1</v>
      </c>
      <c r="G22" s="4"/>
      <c r="H22" s="4"/>
      <c r="I22" s="4"/>
      <c r="J22" s="84"/>
      <c r="K22" s="84"/>
      <c r="L22" s="84"/>
      <c r="M22" s="84"/>
      <c r="N22" s="84"/>
      <c r="O22" s="84"/>
      <c r="P22" s="84"/>
      <c r="Q22" s="84"/>
      <c r="R22" s="84"/>
      <c r="S22" s="84"/>
    </row>
    <row r="23" spans="1:19">
      <c r="A23" s="34">
        <v>21</v>
      </c>
      <c r="B23" s="4" t="s">
        <v>190</v>
      </c>
      <c r="C23" s="5" t="s">
        <v>196</v>
      </c>
      <c r="D23" s="4">
        <v>9871537267</v>
      </c>
      <c r="E23" s="4" t="s">
        <v>9</v>
      </c>
      <c r="F23" s="4">
        <v>2</v>
      </c>
      <c r="G23" s="4"/>
      <c r="H23" s="4"/>
      <c r="I23" s="4"/>
      <c r="J23" s="84"/>
      <c r="K23" s="84"/>
      <c r="L23" s="84"/>
      <c r="M23" s="84"/>
      <c r="N23" s="84"/>
      <c r="O23" s="84"/>
      <c r="P23" s="84"/>
      <c r="Q23" s="84"/>
      <c r="R23" s="84"/>
      <c r="S23" s="84"/>
    </row>
    <row r="24" spans="1:19">
      <c r="A24" s="34">
        <v>22</v>
      </c>
      <c r="B24" s="34" t="s">
        <v>17</v>
      </c>
      <c r="C24" s="34" t="s">
        <v>381</v>
      </c>
      <c r="D24" s="34">
        <v>9990489961</v>
      </c>
      <c r="E24" s="34" t="s">
        <v>55</v>
      </c>
      <c r="F24" s="34">
        <v>2</v>
      </c>
      <c r="G24" s="34"/>
      <c r="H24" s="4"/>
      <c r="I24" s="3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5" spans="1:19">
      <c r="A25" s="34">
        <v>23</v>
      </c>
      <c r="B25" s="34"/>
      <c r="C25" s="34" t="s">
        <v>177</v>
      </c>
      <c r="D25" s="34">
        <v>9501434355</v>
      </c>
      <c r="E25" s="34" t="s">
        <v>300</v>
      </c>
      <c r="F25" s="34"/>
      <c r="G25" s="34">
        <v>0.5</v>
      </c>
      <c r="H25" s="34"/>
      <c r="I25" s="34"/>
      <c r="J25" s="84"/>
      <c r="K25" s="84"/>
      <c r="L25" s="84"/>
      <c r="M25" s="84"/>
      <c r="N25" s="84"/>
      <c r="O25" s="84"/>
      <c r="P25" s="84"/>
      <c r="Q25" s="84"/>
      <c r="R25" s="84"/>
      <c r="S25" s="84"/>
    </row>
    <row r="26" spans="1:19" ht="22.5" customHeight="1">
      <c r="A26" s="34">
        <v>24</v>
      </c>
      <c r="B26" s="34"/>
      <c r="C26" s="34" t="s">
        <v>398</v>
      </c>
      <c r="D26" s="34">
        <v>8650904848</v>
      </c>
      <c r="E26" s="34" t="s">
        <v>218</v>
      </c>
      <c r="F26" s="34">
        <v>0</v>
      </c>
      <c r="G26" s="34"/>
      <c r="H26" s="34"/>
      <c r="I26" s="34"/>
      <c r="J26" s="84"/>
      <c r="K26" s="84"/>
      <c r="L26" s="84"/>
      <c r="M26" s="84"/>
      <c r="N26" s="84"/>
      <c r="O26" s="84"/>
      <c r="P26" s="84"/>
      <c r="Q26" s="84"/>
      <c r="R26" s="84"/>
      <c r="S26" s="84"/>
    </row>
    <row r="27" spans="1:19">
      <c r="A27" s="34">
        <v>25</v>
      </c>
      <c r="B27" s="34" t="s">
        <v>139</v>
      </c>
      <c r="C27" s="34" t="s">
        <v>289</v>
      </c>
      <c r="D27" s="34">
        <v>9027648080</v>
      </c>
      <c r="E27" s="34" t="s">
        <v>218</v>
      </c>
      <c r="F27" s="34">
        <v>0.5</v>
      </c>
      <c r="G27" s="34"/>
      <c r="H27" s="34"/>
      <c r="I27" s="34"/>
      <c r="J27" s="84"/>
      <c r="K27" s="84"/>
      <c r="L27" s="84"/>
      <c r="M27" s="84"/>
      <c r="N27" s="84"/>
      <c r="O27" s="84"/>
      <c r="P27" s="84"/>
      <c r="Q27" s="84"/>
      <c r="R27" s="84"/>
      <c r="S27" s="84"/>
    </row>
    <row r="28" spans="1:19">
      <c r="A28" s="34">
        <v>26</v>
      </c>
      <c r="B28" s="4"/>
      <c r="C28" s="5" t="s">
        <v>450</v>
      </c>
      <c r="D28" s="4">
        <v>9910991241</v>
      </c>
      <c r="E28" s="4" t="s">
        <v>36</v>
      </c>
      <c r="F28" s="4"/>
      <c r="G28" s="4">
        <v>0</v>
      </c>
      <c r="H28" s="4" t="s">
        <v>159</v>
      </c>
      <c r="I28" s="4"/>
      <c r="J28" s="84"/>
      <c r="K28" s="84"/>
      <c r="L28" s="84"/>
      <c r="M28" s="84"/>
      <c r="N28" s="84"/>
      <c r="O28" s="84"/>
      <c r="P28" s="84"/>
      <c r="Q28" s="84"/>
      <c r="R28" s="84"/>
      <c r="S28" s="84"/>
    </row>
    <row r="29" spans="1:19">
      <c r="A29" s="34">
        <v>27</v>
      </c>
      <c r="B29" s="34"/>
      <c r="C29" s="34" t="s">
        <v>141</v>
      </c>
      <c r="D29" s="34">
        <v>8448348222</v>
      </c>
      <c r="E29" s="34" t="s">
        <v>10</v>
      </c>
      <c r="F29" s="34">
        <v>1</v>
      </c>
      <c r="G29" s="34"/>
      <c r="H29" s="34"/>
      <c r="I29" s="34"/>
      <c r="J29" s="84"/>
      <c r="K29" s="84"/>
      <c r="L29" s="84"/>
      <c r="M29" s="84"/>
      <c r="N29" s="84"/>
      <c r="O29" s="84"/>
      <c r="P29" s="84"/>
      <c r="Q29" s="84"/>
      <c r="R29" s="84"/>
      <c r="S29" s="84"/>
    </row>
    <row r="30" spans="1:19">
      <c r="A30" s="34">
        <v>28</v>
      </c>
      <c r="B30" s="34"/>
      <c r="C30" s="34" t="s">
        <v>168</v>
      </c>
      <c r="D30" s="34">
        <v>9810007295</v>
      </c>
      <c r="E30" s="34" t="s">
        <v>355</v>
      </c>
      <c r="F30" s="34"/>
      <c r="G30" s="34">
        <v>2</v>
      </c>
      <c r="H30" s="34"/>
      <c r="I30" s="34"/>
      <c r="J30" s="84"/>
      <c r="K30" s="84"/>
      <c r="L30" s="84"/>
      <c r="M30" s="84"/>
      <c r="N30" s="84"/>
      <c r="O30" s="84"/>
      <c r="P30" s="84"/>
      <c r="Q30" s="84"/>
      <c r="R30" s="84"/>
      <c r="S30" s="84"/>
    </row>
    <row r="31" spans="1:19">
      <c r="A31" s="34">
        <v>29</v>
      </c>
      <c r="B31" s="34"/>
      <c r="C31" s="34" t="s">
        <v>332</v>
      </c>
      <c r="D31" s="34">
        <v>9389878093</v>
      </c>
      <c r="E31" s="34" t="s">
        <v>55</v>
      </c>
      <c r="F31" s="34">
        <v>2</v>
      </c>
      <c r="G31" s="34"/>
      <c r="H31" s="34"/>
      <c r="I31" s="34"/>
      <c r="J31" s="84"/>
      <c r="K31" s="84"/>
      <c r="L31" s="84"/>
      <c r="M31" s="84"/>
      <c r="N31" s="84"/>
      <c r="O31" s="84"/>
      <c r="P31" s="84"/>
      <c r="Q31" s="84"/>
      <c r="R31" s="84"/>
      <c r="S31" s="84"/>
    </row>
    <row r="32" spans="1:19">
      <c r="A32" s="34">
        <v>30</v>
      </c>
      <c r="B32" s="4"/>
      <c r="C32" s="5" t="s">
        <v>327</v>
      </c>
      <c r="D32" s="4">
        <v>9899214690</v>
      </c>
      <c r="E32" s="4" t="s">
        <v>55</v>
      </c>
      <c r="F32" s="4">
        <v>2</v>
      </c>
      <c r="G32" s="4"/>
      <c r="H32" s="4"/>
      <c r="I32" s="4"/>
      <c r="J32" s="84"/>
      <c r="K32" s="84"/>
      <c r="L32" s="84"/>
      <c r="M32" s="84"/>
      <c r="N32" s="84"/>
      <c r="O32" s="84"/>
      <c r="P32" s="84"/>
      <c r="Q32" s="84"/>
      <c r="R32" s="84"/>
      <c r="S32" s="84"/>
    </row>
    <row r="33" spans="1:25">
      <c r="A33" s="34">
        <v>31</v>
      </c>
      <c r="B33" s="4"/>
      <c r="C33" s="5" t="s">
        <v>399</v>
      </c>
      <c r="D33" s="4">
        <v>9319344490</v>
      </c>
      <c r="E33" s="4" t="s">
        <v>11</v>
      </c>
      <c r="F33" s="4">
        <v>0</v>
      </c>
      <c r="G33" s="4"/>
      <c r="H33" s="4" t="s">
        <v>159</v>
      </c>
      <c r="I33" s="4"/>
      <c r="J33" s="84"/>
      <c r="K33" s="84"/>
      <c r="L33" s="84"/>
      <c r="M33" s="84"/>
      <c r="N33" s="84"/>
      <c r="O33" s="84"/>
      <c r="P33" s="84"/>
      <c r="Q33" s="84"/>
      <c r="R33" s="84"/>
      <c r="S33" s="84"/>
    </row>
    <row r="34" spans="1:25">
      <c r="A34" s="34">
        <v>32</v>
      </c>
      <c r="B34" s="4"/>
      <c r="C34" s="5" t="s">
        <v>328</v>
      </c>
      <c r="D34" s="4">
        <v>9058052730</v>
      </c>
      <c r="E34" s="4" t="s">
        <v>34</v>
      </c>
      <c r="F34" s="4">
        <v>3</v>
      </c>
      <c r="G34" s="4"/>
      <c r="H34" s="4"/>
      <c r="I34" s="4"/>
      <c r="J34" s="84"/>
      <c r="K34" s="84"/>
      <c r="L34" s="84"/>
      <c r="M34" s="84"/>
      <c r="N34" s="84"/>
      <c r="O34" s="84"/>
      <c r="P34" s="84"/>
      <c r="Q34" s="84"/>
      <c r="R34" s="84"/>
      <c r="S34" s="84"/>
    </row>
    <row r="35" spans="1:25">
      <c r="A35" s="34">
        <v>33</v>
      </c>
      <c r="B35" s="4" t="s">
        <v>372</v>
      </c>
      <c r="C35" s="5" t="s">
        <v>371</v>
      </c>
      <c r="D35" s="4">
        <v>8882967949</v>
      </c>
      <c r="E35" s="4" t="s">
        <v>218</v>
      </c>
      <c r="F35" s="4">
        <v>0.5</v>
      </c>
      <c r="G35" s="4"/>
      <c r="H35" s="4"/>
      <c r="I35" s="4"/>
      <c r="J35" s="84"/>
      <c r="K35" s="84"/>
      <c r="L35" s="84"/>
      <c r="M35" s="84"/>
      <c r="N35" s="84"/>
      <c r="O35" s="84"/>
      <c r="P35" s="84"/>
      <c r="Q35" s="84"/>
      <c r="R35" s="84"/>
      <c r="S35" s="84"/>
    </row>
    <row r="36" spans="1:25">
      <c r="A36" s="34">
        <v>34</v>
      </c>
      <c r="B36" s="4"/>
      <c r="C36" s="5" t="s">
        <v>377</v>
      </c>
      <c r="D36" s="4">
        <v>9711302012</v>
      </c>
      <c r="E36" s="4" t="s">
        <v>55</v>
      </c>
      <c r="F36" s="4">
        <v>2</v>
      </c>
      <c r="G36" s="4"/>
      <c r="H36" s="4"/>
      <c r="I36" s="4"/>
      <c r="J36" s="84"/>
      <c r="K36" s="84"/>
      <c r="L36" s="84"/>
      <c r="M36" s="84"/>
      <c r="N36" s="84"/>
      <c r="O36" s="84"/>
      <c r="P36" s="84"/>
      <c r="Q36" s="84"/>
      <c r="R36" s="84"/>
      <c r="S36" s="84"/>
    </row>
    <row r="37" spans="1:25">
      <c r="A37" s="34">
        <v>35</v>
      </c>
      <c r="B37" s="4"/>
      <c r="C37" s="5" t="s">
        <v>420</v>
      </c>
      <c r="D37" s="4"/>
      <c r="E37" s="4" t="s">
        <v>55</v>
      </c>
      <c r="F37" s="4">
        <v>2</v>
      </c>
      <c r="G37" s="4"/>
      <c r="H37" s="4"/>
      <c r="I37" s="4"/>
      <c r="J37" s="84"/>
      <c r="K37" s="84"/>
      <c r="L37" s="84"/>
      <c r="M37" s="84"/>
      <c r="N37" s="84"/>
      <c r="O37" s="84"/>
      <c r="P37" s="84"/>
      <c r="Q37" s="84"/>
      <c r="R37" s="84"/>
      <c r="S37" s="84"/>
    </row>
    <row r="38" spans="1:25">
      <c r="A38" s="65"/>
      <c r="B38" s="57"/>
      <c r="C38" s="57"/>
      <c r="D38" s="57"/>
      <c r="E38" s="57" t="s">
        <v>29</v>
      </c>
      <c r="F38" s="57">
        <f>SUM(F3:F37)</f>
        <v>35.5</v>
      </c>
      <c r="G38" s="57">
        <f>SUM(G3:G37)</f>
        <v>3.5</v>
      </c>
      <c r="H38" s="57"/>
      <c r="I38" s="57"/>
      <c r="J38" s="84"/>
      <c r="K38" s="84"/>
      <c r="L38" s="84"/>
      <c r="M38" s="84"/>
      <c r="N38" s="84"/>
      <c r="O38" s="84"/>
      <c r="P38" s="84"/>
      <c r="Q38" s="84"/>
      <c r="R38" s="84"/>
      <c r="S38" s="84"/>
    </row>
    <row r="39" spans="1:25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</row>
    <row r="40" spans="1:25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</row>
    <row r="41" spans="1:25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</row>
    <row r="42" spans="1:25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</row>
    <row r="43" spans="1:25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 spans="1:25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</row>
    <row r="45" spans="1:2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</row>
    <row r="46" spans="1:25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</row>
    <row r="47" spans="1:25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</row>
    <row r="48" spans="1:25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</row>
    <row r="49" spans="1:25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</row>
    <row r="50" spans="1:25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</row>
    <row r="51" spans="1:25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</row>
    <row r="52" spans="1:2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</row>
    <row r="53" spans="1:25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</row>
    <row r="54" spans="1:2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</row>
    <row r="55" spans="1:2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 spans="1:25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</row>
    <row r="57" spans="1:25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</row>
    <row r="58" spans="1:25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</row>
    <row r="59" spans="1:25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</row>
    <row r="60" spans="1:2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</row>
    <row r="61" spans="1:2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</row>
    <row r="62" spans="1:2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</row>
    <row r="63" spans="1:2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 spans="1:2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</row>
    <row r="65" spans="1:2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 spans="1:2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</row>
    <row r="67" spans="1:2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</row>
    <row r="68" spans="1:2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</row>
    <row r="69" spans="1:2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</row>
    <row r="70" spans="1:2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</row>
    <row r="71" spans="1:2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 spans="1:2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</row>
    <row r="73" spans="1:2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 spans="1:2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</row>
    <row r="75" spans="1:2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 spans="1:2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</row>
    <row r="77" spans="1:2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 spans="1:2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</row>
    <row r="79" spans="1:2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 spans="1:2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</row>
    <row r="81" spans="1:2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</row>
    <row r="82" spans="1:2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</row>
    <row r="83" spans="1:2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</row>
    <row r="84" spans="1:2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</row>
    <row r="85" spans="1:2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</row>
    <row r="86" spans="1:2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</row>
    <row r="87" spans="1:2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</row>
    <row r="88" spans="1:2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</row>
    <row r="89" spans="1:2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</row>
    <row r="90" spans="1:2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</row>
    <row r="91" spans="1:2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</row>
    <row r="92" spans="1:2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</row>
    <row r="93" spans="1:25">
      <c r="J93" s="84"/>
      <c r="K93" s="84"/>
      <c r="L93" s="84"/>
      <c r="M93" s="84"/>
      <c r="N93" s="84"/>
      <c r="O93" s="84"/>
      <c r="P93" s="84"/>
      <c r="Q93" s="84"/>
      <c r="R93" s="84"/>
      <c r="S93" s="84"/>
    </row>
    <row r="94" spans="1:25">
      <c r="J94" s="84"/>
      <c r="K94" s="84"/>
      <c r="L94" s="84"/>
      <c r="M94" s="84"/>
      <c r="N94" s="84"/>
      <c r="O94" s="84"/>
      <c r="P94" s="84"/>
      <c r="Q94" s="84"/>
      <c r="R94" s="84"/>
      <c r="S94" s="84"/>
    </row>
    <row r="95" spans="1:25">
      <c r="J95" s="84"/>
      <c r="K95" s="84"/>
      <c r="L95" s="84"/>
      <c r="M95" s="84"/>
      <c r="N95" s="84"/>
      <c r="O95" s="84"/>
      <c r="P95" s="84"/>
      <c r="Q95" s="84"/>
      <c r="R95" s="84"/>
      <c r="S95" s="84"/>
    </row>
  </sheetData>
  <mergeCells count="1">
    <mergeCell ref="A1:H1"/>
  </mergeCells>
  <pageMargins left="0.70866141732283472" right="0.31496062992125984" top="0.74803149606299213" bottom="0.74803149606299213" header="0.31496062992125984" footer="0.31496062992125984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topLeftCell="A16" zoomScale="90" zoomScaleNormal="90" zoomScaleSheetLayoutView="90" zoomScalePageLayoutView="93" workbookViewId="0">
      <selection activeCell="F23" sqref="F23"/>
    </sheetView>
  </sheetViews>
  <sheetFormatPr defaultColWidth="9.140625" defaultRowHeight="23.25"/>
  <cols>
    <col min="1" max="1" width="4.85546875" style="33" customWidth="1"/>
    <col min="2" max="2" width="26" style="33" bestFit="1" customWidth="1"/>
    <col min="3" max="3" width="51.5703125" style="33" bestFit="1" customWidth="1"/>
    <col min="4" max="4" width="20.42578125" style="33" customWidth="1"/>
    <col min="5" max="5" width="20.42578125" style="33" bestFit="1" customWidth="1"/>
    <col min="6" max="7" width="8.140625" style="33" bestFit="1" customWidth="1"/>
    <col min="8" max="8" width="36.7109375" style="33" bestFit="1" customWidth="1"/>
    <col min="9" max="9" width="8.7109375" style="35" bestFit="1" customWidth="1"/>
    <col min="10" max="2210" width="9.140625" style="33"/>
    <col min="2211" max="2229" width="9.140625" style="33" customWidth="1"/>
    <col min="2230" max="2230" width="6" style="33" customWidth="1"/>
    <col min="2231" max="16384" width="9.140625" style="33"/>
  </cols>
  <sheetData>
    <row r="1" spans="1:9">
      <c r="A1" s="86" t="s">
        <v>464</v>
      </c>
      <c r="B1" s="86"/>
      <c r="C1" s="86"/>
      <c r="D1" s="86"/>
      <c r="E1" s="86"/>
      <c r="F1" s="86"/>
      <c r="G1" s="86"/>
      <c r="H1" s="86"/>
      <c r="I1" s="38">
        <v>1</v>
      </c>
    </row>
    <row r="2" spans="1:9">
      <c r="A2" s="36"/>
      <c r="B2" s="36" t="s">
        <v>1</v>
      </c>
      <c r="C2" s="36" t="s">
        <v>30</v>
      </c>
      <c r="D2" s="36" t="s">
        <v>31</v>
      </c>
      <c r="E2" s="36" t="s">
        <v>4</v>
      </c>
      <c r="F2" s="36" t="s">
        <v>5</v>
      </c>
      <c r="G2" s="36" t="s">
        <v>6</v>
      </c>
      <c r="H2" s="11" t="s">
        <v>7</v>
      </c>
      <c r="I2" s="11" t="s">
        <v>8</v>
      </c>
    </row>
    <row r="3" spans="1:9">
      <c r="A3" s="34">
        <v>1</v>
      </c>
      <c r="B3" s="34"/>
      <c r="C3" s="34" t="s">
        <v>35</v>
      </c>
      <c r="D3" s="34">
        <v>9899220331</v>
      </c>
      <c r="E3" s="34" t="s">
        <v>55</v>
      </c>
      <c r="F3" s="34">
        <v>2</v>
      </c>
      <c r="G3" s="34"/>
      <c r="H3" s="34"/>
      <c r="I3" s="34"/>
    </row>
    <row r="4" spans="1:9">
      <c r="A4" s="34">
        <v>2</v>
      </c>
      <c r="B4" s="34"/>
      <c r="C4" s="55" t="s">
        <v>235</v>
      </c>
      <c r="D4" s="34">
        <v>9560093125</v>
      </c>
      <c r="E4" s="34" t="s">
        <v>36</v>
      </c>
      <c r="F4" s="34"/>
      <c r="G4" s="34">
        <v>1</v>
      </c>
      <c r="H4" s="34"/>
      <c r="I4" s="34"/>
    </row>
    <row r="5" spans="1:9">
      <c r="A5" s="34">
        <v>3</v>
      </c>
      <c r="B5" s="34"/>
      <c r="C5" s="55" t="s">
        <v>274</v>
      </c>
      <c r="D5" s="34">
        <v>9278261027</v>
      </c>
      <c r="E5" s="34" t="s">
        <v>49</v>
      </c>
      <c r="F5" s="34">
        <v>3</v>
      </c>
      <c r="G5" s="34"/>
      <c r="H5" s="34"/>
      <c r="I5" s="34"/>
    </row>
    <row r="6" spans="1:9">
      <c r="A6" s="34">
        <v>4</v>
      </c>
      <c r="B6" s="34"/>
      <c r="C6" s="55" t="s">
        <v>302</v>
      </c>
      <c r="D6" s="34">
        <v>9212022123</v>
      </c>
      <c r="E6" s="34" t="s">
        <v>36</v>
      </c>
      <c r="F6" s="34"/>
      <c r="G6" s="34">
        <v>1</v>
      </c>
      <c r="H6" s="34"/>
      <c r="I6" s="34"/>
    </row>
    <row r="7" spans="1:9">
      <c r="A7" s="34">
        <v>5</v>
      </c>
      <c r="B7" s="34"/>
      <c r="C7" s="34" t="s">
        <v>136</v>
      </c>
      <c r="D7" s="34">
        <v>9628569374</v>
      </c>
      <c r="E7" s="34" t="s">
        <v>213</v>
      </c>
      <c r="F7" s="34">
        <v>1</v>
      </c>
      <c r="G7" s="34">
        <v>1</v>
      </c>
      <c r="H7" s="34"/>
      <c r="I7" s="4"/>
    </row>
    <row r="8" spans="1:9">
      <c r="A8" s="34">
        <v>6</v>
      </c>
      <c r="B8" s="34"/>
      <c r="C8" s="34" t="s">
        <v>287</v>
      </c>
      <c r="D8" s="34">
        <v>9971436366</v>
      </c>
      <c r="E8" s="34" t="s">
        <v>303</v>
      </c>
      <c r="F8" s="34">
        <v>2</v>
      </c>
      <c r="G8" s="34"/>
      <c r="H8" s="34"/>
      <c r="I8" s="4"/>
    </row>
    <row r="9" spans="1:9">
      <c r="A9" s="34">
        <v>7</v>
      </c>
      <c r="B9" s="34"/>
      <c r="C9" s="34" t="s">
        <v>204</v>
      </c>
      <c r="D9" s="34">
        <v>8527752116</v>
      </c>
      <c r="E9" s="34" t="s">
        <v>9</v>
      </c>
      <c r="F9" s="34">
        <v>2</v>
      </c>
      <c r="G9" s="34"/>
      <c r="H9" s="34"/>
      <c r="I9" s="34"/>
    </row>
    <row r="10" spans="1:9" s="1" customFormat="1">
      <c r="A10" s="34">
        <v>8</v>
      </c>
      <c r="B10" s="2" t="s">
        <v>105</v>
      </c>
      <c r="C10" s="2" t="s">
        <v>473</v>
      </c>
      <c r="D10" s="2">
        <v>9910416500</v>
      </c>
      <c r="E10" s="2" t="s">
        <v>210</v>
      </c>
      <c r="F10" s="2">
        <v>1.5</v>
      </c>
      <c r="G10" s="2"/>
      <c r="H10" s="2"/>
      <c r="I10" s="4"/>
    </row>
    <row r="11" spans="1:9" s="1" customFormat="1">
      <c r="A11" s="34">
        <v>9</v>
      </c>
      <c r="B11" s="2" t="s">
        <v>226</v>
      </c>
      <c r="C11" s="2" t="s">
        <v>227</v>
      </c>
      <c r="D11" s="2">
        <v>9990827204</v>
      </c>
      <c r="E11" s="2" t="s">
        <v>11</v>
      </c>
      <c r="F11" s="2">
        <v>1</v>
      </c>
      <c r="G11" s="2"/>
      <c r="H11" s="2"/>
      <c r="I11" s="4"/>
    </row>
    <row r="12" spans="1:9">
      <c r="A12" s="34">
        <v>10</v>
      </c>
      <c r="B12" s="34"/>
      <c r="C12" s="34" t="s">
        <v>194</v>
      </c>
      <c r="D12" s="34">
        <v>9350216840</v>
      </c>
      <c r="E12" s="34" t="s">
        <v>11</v>
      </c>
      <c r="F12" s="34">
        <v>1</v>
      </c>
      <c r="G12" s="34"/>
      <c r="H12" s="34"/>
      <c r="I12" s="4"/>
    </row>
    <row r="13" spans="1:9" s="1" customFormat="1">
      <c r="A13" s="34">
        <v>11</v>
      </c>
      <c r="B13" s="2"/>
      <c r="C13" s="2" t="s">
        <v>270</v>
      </c>
      <c r="D13" s="2">
        <v>8445804457</v>
      </c>
      <c r="E13" s="2" t="s">
        <v>210</v>
      </c>
      <c r="F13" s="2">
        <v>1.5</v>
      </c>
      <c r="G13" s="2"/>
      <c r="H13" s="2"/>
      <c r="I13" s="2"/>
    </row>
    <row r="14" spans="1:9">
      <c r="A14" s="34">
        <v>12</v>
      </c>
      <c r="B14" s="34" t="s">
        <v>173</v>
      </c>
      <c r="C14" s="34" t="s">
        <v>174</v>
      </c>
      <c r="D14" s="34">
        <v>9810094119</v>
      </c>
      <c r="E14" s="34" t="s">
        <v>74</v>
      </c>
      <c r="F14" s="34"/>
      <c r="G14" s="34">
        <v>2</v>
      </c>
      <c r="H14" s="34"/>
      <c r="I14" s="4"/>
    </row>
    <row r="15" spans="1:9">
      <c r="A15" s="34">
        <v>13</v>
      </c>
      <c r="B15" s="34"/>
      <c r="C15" s="34" t="s">
        <v>276</v>
      </c>
      <c r="D15" s="34">
        <v>7065456864</v>
      </c>
      <c r="E15" s="34" t="s">
        <v>11</v>
      </c>
      <c r="F15" s="34">
        <v>1</v>
      </c>
      <c r="G15" s="34"/>
      <c r="H15" s="34"/>
      <c r="I15" s="4"/>
    </row>
    <row r="16" spans="1:9">
      <c r="A16" s="34">
        <v>14</v>
      </c>
      <c r="B16" s="34"/>
      <c r="C16" s="34" t="s">
        <v>37</v>
      </c>
      <c r="D16" s="34">
        <v>9868703536</v>
      </c>
      <c r="E16" s="34" t="s">
        <v>11</v>
      </c>
      <c r="F16" s="34">
        <v>1</v>
      </c>
      <c r="G16" s="34"/>
      <c r="H16" s="34"/>
      <c r="I16" s="34"/>
    </row>
    <row r="17" spans="1:9">
      <c r="A17" s="34">
        <v>15</v>
      </c>
      <c r="B17" s="34"/>
      <c r="C17" s="34" t="s">
        <v>294</v>
      </c>
      <c r="D17" s="34">
        <v>9205866388</v>
      </c>
      <c r="E17" s="34" t="s">
        <v>11</v>
      </c>
      <c r="F17" s="34">
        <v>2</v>
      </c>
      <c r="G17" s="34"/>
      <c r="H17" s="34" t="s">
        <v>481</v>
      </c>
      <c r="I17" s="34"/>
    </row>
    <row r="18" spans="1:9">
      <c r="A18" s="34">
        <v>16</v>
      </c>
      <c r="B18" s="34"/>
      <c r="C18" s="34" t="s">
        <v>206</v>
      </c>
      <c r="D18" s="34">
        <v>9599956673</v>
      </c>
      <c r="E18" s="34" t="s">
        <v>11</v>
      </c>
      <c r="F18" s="34">
        <v>0</v>
      </c>
      <c r="G18" s="34"/>
      <c r="H18" s="34"/>
      <c r="I18" s="4"/>
    </row>
    <row r="19" spans="1:9">
      <c r="A19" s="34">
        <v>17</v>
      </c>
      <c r="B19" s="34"/>
      <c r="C19" s="34" t="s">
        <v>323</v>
      </c>
      <c r="D19" s="34">
        <v>9868579737</v>
      </c>
      <c r="E19" s="34" t="s">
        <v>11</v>
      </c>
      <c r="F19" s="34">
        <v>1</v>
      </c>
      <c r="G19" s="34"/>
      <c r="H19" s="34"/>
      <c r="I19" s="4"/>
    </row>
    <row r="20" spans="1:9" s="3" customFormat="1">
      <c r="A20" s="34">
        <v>18</v>
      </c>
      <c r="B20" s="4"/>
      <c r="C20" s="4" t="s">
        <v>215</v>
      </c>
      <c r="D20" s="4">
        <v>8851362151</v>
      </c>
      <c r="E20" s="4" t="s">
        <v>11</v>
      </c>
      <c r="F20" s="4">
        <v>1</v>
      </c>
      <c r="G20" s="4"/>
      <c r="H20" s="4"/>
      <c r="I20" s="4"/>
    </row>
    <row r="21" spans="1:9" s="3" customFormat="1">
      <c r="A21" s="34">
        <v>19</v>
      </c>
      <c r="B21" s="4"/>
      <c r="C21" s="4" t="s">
        <v>359</v>
      </c>
      <c r="D21" s="4">
        <v>7503904417</v>
      </c>
      <c r="E21" s="4" t="s">
        <v>38</v>
      </c>
      <c r="F21" s="4"/>
      <c r="G21" s="4">
        <v>1</v>
      </c>
      <c r="H21" s="4"/>
      <c r="I21" s="4"/>
    </row>
    <row r="22" spans="1:9">
      <c r="A22" s="34">
        <v>20</v>
      </c>
      <c r="B22" s="34" t="s">
        <v>290</v>
      </c>
      <c r="C22" s="34" t="s">
        <v>155</v>
      </c>
      <c r="D22" s="34">
        <v>9213045667</v>
      </c>
      <c r="E22" s="34" t="s">
        <v>240</v>
      </c>
      <c r="F22" s="34">
        <v>0</v>
      </c>
      <c r="G22" s="34"/>
      <c r="H22" s="34" t="s">
        <v>158</v>
      </c>
      <c r="I22" s="4"/>
    </row>
    <row r="23" spans="1:9">
      <c r="A23" s="34">
        <v>21</v>
      </c>
      <c r="B23" s="34"/>
      <c r="C23" s="34" t="s">
        <v>39</v>
      </c>
      <c r="D23" s="34">
        <v>9868740030</v>
      </c>
      <c r="E23" s="34" t="s">
        <v>11</v>
      </c>
      <c r="F23" s="34">
        <v>0</v>
      </c>
      <c r="G23" s="34"/>
      <c r="H23" s="34"/>
      <c r="I23" s="4"/>
    </row>
    <row r="24" spans="1:9">
      <c r="A24" s="34">
        <v>22</v>
      </c>
      <c r="B24" s="34" t="s">
        <v>225</v>
      </c>
      <c r="C24" s="34" t="s">
        <v>297</v>
      </c>
      <c r="D24" s="34">
        <v>9213758177</v>
      </c>
      <c r="E24" s="34" t="s">
        <v>11</v>
      </c>
      <c r="F24" s="34">
        <v>1</v>
      </c>
      <c r="G24" s="34"/>
      <c r="H24" s="34"/>
      <c r="I24" s="4"/>
    </row>
    <row r="25" spans="1:9">
      <c r="A25" s="34">
        <v>23</v>
      </c>
      <c r="B25" s="34" t="s">
        <v>225</v>
      </c>
      <c r="C25" s="34" t="s">
        <v>224</v>
      </c>
      <c r="D25" s="34">
        <v>9650700776</v>
      </c>
      <c r="E25" s="34" t="s">
        <v>11</v>
      </c>
      <c r="F25" s="34">
        <v>0</v>
      </c>
      <c r="G25" s="34"/>
      <c r="H25" s="34" t="s">
        <v>158</v>
      </c>
      <c r="I25" s="34"/>
    </row>
    <row r="26" spans="1:9">
      <c r="A26" s="34">
        <v>24</v>
      </c>
      <c r="B26" s="34"/>
      <c r="C26" s="34" t="s">
        <v>40</v>
      </c>
      <c r="D26" s="34">
        <v>8802473666</v>
      </c>
      <c r="E26" s="34" t="s">
        <v>74</v>
      </c>
      <c r="F26" s="34"/>
      <c r="G26" s="34">
        <v>2</v>
      </c>
      <c r="H26" s="34"/>
      <c r="I26" s="4"/>
    </row>
    <row r="27" spans="1:9">
      <c r="A27" s="34">
        <v>25</v>
      </c>
      <c r="B27" s="34" t="s">
        <v>233</v>
      </c>
      <c r="C27" s="34" t="s">
        <v>234</v>
      </c>
      <c r="D27" s="34">
        <v>9212172611</v>
      </c>
      <c r="E27" s="34" t="s">
        <v>38</v>
      </c>
      <c r="F27" s="34"/>
      <c r="G27" s="34">
        <v>1</v>
      </c>
      <c r="H27" s="34"/>
      <c r="I27" s="4"/>
    </row>
    <row r="28" spans="1:9">
      <c r="A28" s="34">
        <v>26</v>
      </c>
      <c r="B28" s="34"/>
      <c r="C28" s="34" t="s">
        <v>269</v>
      </c>
      <c r="D28" s="34">
        <v>9811665151</v>
      </c>
      <c r="E28" s="34" t="s">
        <v>11</v>
      </c>
      <c r="F28" s="34">
        <v>1</v>
      </c>
      <c r="G28" s="34"/>
      <c r="H28" s="34"/>
      <c r="I28" s="4"/>
    </row>
    <row r="29" spans="1:9">
      <c r="A29" s="34">
        <v>27</v>
      </c>
      <c r="B29" s="34"/>
      <c r="C29" s="34" t="s">
        <v>457</v>
      </c>
      <c r="D29" s="34">
        <v>9971081106</v>
      </c>
      <c r="E29" s="34" t="s">
        <v>74</v>
      </c>
      <c r="F29" s="34"/>
      <c r="G29" s="34">
        <v>2</v>
      </c>
      <c r="H29" s="34" t="s">
        <v>225</v>
      </c>
      <c r="I29" s="4"/>
    </row>
    <row r="30" spans="1:9" customFormat="1">
      <c r="A30" s="34">
        <v>28</v>
      </c>
      <c r="B30" s="4"/>
      <c r="C30" s="23" t="s">
        <v>154</v>
      </c>
      <c r="D30" s="4">
        <v>9999777969</v>
      </c>
      <c r="E30" s="4" t="s">
        <v>133</v>
      </c>
      <c r="F30" s="4">
        <v>4</v>
      </c>
      <c r="G30" s="4"/>
      <c r="H30" s="4"/>
      <c r="I30" s="64"/>
    </row>
    <row r="31" spans="1:9" customFormat="1">
      <c r="A31" s="34">
        <v>29</v>
      </c>
      <c r="B31" s="4"/>
      <c r="C31" s="23" t="s">
        <v>428</v>
      </c>
      <c r="D31" s="4"/>
      <c r="E31" s="4" t="s">
        <v>201</v>
      </c>
      <c r="F31" s="4"/>
      <c r="G31" s="4">
        <v>0</v>
      </c>
      <c r="H31" s="4"/>
      <c r="I31" s="64"/>
    </row>
    <row r="32" spans="1:9" customFormat="1">
      <c r="A32" s="34">
        <v>30</v>
      </c>
      <c r="B32" s="4" t="s">
        <v>445</v>
      </c>
      <c r="C32" s="23" t="s">
        <v>444</v>
      </c>
      <c r="D32" s="4">
        <v>9818423311</v>
      </c>
      <c r="E32" s="4" t="s">
        <v>36</v>
      </c>
      <c r="F32" s="4"/>
      <c r="G32" s="4">
        <v>0</v>
      </c>
      <c r="H32" s="34" t="s">
        <v>159</v>
      </c>
      <c r="I32" s="64"/>
    </row>
    <row r="33" spans="1:9">
      <c r="A33" s="34">
        <v>31</v>
      </c>
      <c r="B33" s="34" t="s">
        <v>32</v>
      </c>
      <c r="C33" s="34" t="s">
        <v>33</v>
      </c>
      <c r="D33" s="34">
        <v>8368904071</v>
      </c>
      <c r="E33" s="34" t="s">
        <v>10</v>
      </c>
      <c r="F33" s="34">
        <v>1</v>
      </c>
      <c r="G33" s="34"/>
      <c r="H33" s="34"/>
      <c r="I33" s="34"/>
    </row>
    <row r="34" spans="1:9">
      <c r="A34" s="34">
        <v>32</v>
      </c>
      <c r="B34" s="34"/>
      <c r="C34" s="34" t="s">
        <v>247</v>
      </c>
      <c r="D34" s="34">
        <v>7982970233</v>
      </c>
      <c r="E34" s="34" t="s">
        <v>11</v>
      </c>
      <c r="F34" s="34">
        <v>1</v>
      </c>
      <c r="G34" s="34"/>
      <c r="H34" s="34"/>
      <c r="I34" s="34"/>
    </row>
    <row r="35" spans="1:9">
      <c r="A35" s="65"/>
      <c r="B35" s="65"/>
      <c r="C35" s="65"/>
      <c r="D35" s="65"/>
      <c r="E35" s="65" t="s">
        <v>29</v>
      </c>
      <c r="F35" s="65">
        <f>SUM(F3:F34)</f>
        <v>29</v>
      </c>
      <c r="G35" s="65">
        <f>SUM(G3:G34)</f>
        <v>11</v>
      </c>
      <c r="H35" s="65"/>
      <c r="I35" s="65"/>
    </row>
  </sheetData>
  <mergeCells count="1">
    <mergeCell ref="A1:H1"/>
  </mergeCells>
  <pageMargins left="0.25" right="0.25" top="0.75" bottom="0.75" header="0.3" footer="0.3"/>
  <pageSetup paperSize="9" scale="5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"/>
  <sheetViews>
    <sheetView topLeftCell="A4" zoomScale="90" zoomScaleNormal="90" workbookViewId="0">
      <selection activeCell="G22" sqref="G22"/>
    </sheetView>
  </sheetViews>
  <sheetFormatPr defaultColWidth="9.140625" defaultRowHeight="23.25"/>
  <cols>
    <col min="1" max="1" width="6.140625" style="3" customWidth="1"/>
    <col min="2" max="2" width="29" style="3" customWidth="1"/>
    <col min="3" max="3" width="53.42578125" style="3" customWidth="1"/>
    <col min="4" max="4" width="21" style="3" bestFit="1" customWidth="1"/>
    <col min="5" max="5" width="20.7109375" style="3" customWidth="1"/>
    <col min="6" max="7" width="8.42578125" style="3" bestFit="1" customWidth="1"/>
    <col min="8" max="8" width="35.85546875" style="3" bestFit="1" customWidth="1"/>
    <col min="9" max="9" width="9" style="3" customWidth="1"/>
    <col min="10" max="16384" width="9.140625" style="3"/>
  </cols>
  <sheetData>
    <row r="1" spans="1:9">
      <c r="A1" s="87" t="s">
        <v>465</v>
      </c>
      <c r="B1" s="87"/>
      <c r="C1" s="87"/>
      <c r="D1" s="87"/>
      <c r="E1" s="87"/>
      <c r="F1" s="87"/>
      <c r="G1" s="87"/>
      <c r="H1" s="87"/>
      <c r="I1" s="38">
        <v>1</v>
      </c>
    </row>
    <row r="2" spans="1:9">
      <c r="A2" s="11" t="s">
        <v>41</v>
      </c>
      <c r="B2" s="11" t="s">
        <v>1</v>
      </c>
      <c r="C2" s="11" t="s">
        <v>30</v>
      </c>
      <c r="D2" s="11" t="s">
        <v>31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</row>
    <row r="3" spans="1:9">
      <c r="A3" s="34">
        <v>1</v>
      </c>
      <c r="B3" s="4" t="s">
        <v>348</v>
      </c>
      <c r="C3" s="4" t="s">
        <v>62</v>
      </c>
      <c r="D3" s="4">
        <v>9810583557</v>
      </c>
      <c r="E3" s="4" t="s">
        <v>187</v>
      </c>
      <c r="F3" s="4">
        <v>1</v>
      </c>
      <c r="G3" s="4"/>
      <c r="H3" s="4" t="s">
        <v>427</v>
      </c>
      <c r="I3" s="4"/>
    </row>
    <row r="4" spans="1:9">
      <c r="A4" s="34">
        <v>2</v>
      </c>
      <c r="B4" s="4"/>
      <c r="C4" s="4" t="s">
        <v>422</v>
      </c>
      <c r="D4" s="4"/>
      <c r="E4" s="4" t="s">
        <v>55</v>
      </c>
      <c r="F4" s="4">
        <v>0</v>
      </c>
      <c r="G4" s="4"/>
      <c r="H4" s="4" t="s">
        <v>405</v>
      </c>
      <c r="I4" s="4"/>
    </row>
    <row r="5" spans="1:9">
      <c r="A5" s="34">
        <v>3</v>
      </c>
      <c r="B5" s="4"/>
      <c r="C5" s="4" t="s">
        <v>63</v>
      </c>
      <c r="D5" s="4">
        <v>8130777066</v>
      </c>
      <c r="E5" s="4" t="s">
        <v>11</v>
      </c>
      <c r="F5" s="4">
        <v>1</v>
      </c>
      <c r="G5" s="4"/>
      <c r="H5" s="4" t="s">
        <v>475</v>
      </c>
      <c r="I5" s="4"/>
    </row>
    <row r="6" spans="1:9">
      <c r="A6" s="34">
        <v>4</v>
      </c>
      <c r="B6" s="4" t="s">
        <v>382</v>
      </c>
      <c r="C6" s="4" t="s">
        <v>64</v>
      </c>
      <c r="D6" s="4">
        <v>9212295616</v>
      </c>
      <c r="E6" s="4" t="s">
        <v>55</v>
      </c>
      <c r="F6" s="4">
        <v>2</v>
      </c>
      <c r="G6" s="4"/>
      <c r="H6" s="4"/>
      <c r="I6" s="4"/>
    </row>
    <row r="7" spans="1:9">
      <c r="A7" s="34">
        <v>5</v>
      </c>
      <c r="B7" s="4"/>
      <c r="C7" s="4" t="s">
        <v>65</v>
      </c>
      <c r="D7" s="4">
        <v>6861896736</v>
      </c>
      <c r="E7" s="4" t="s">
        <v>201</v>
      </c>
      <c r="F7" s="4"/>
      <c r="G7" s="4">
        <v>0</v>
      </c>
      <c r="H7" s="3" t="s">
        <v>453</v>
      </c>
      <c r="I7" s="4"/>
    </row>
    <row r="8" spans="1:9">
      <c r="A8" s="34">
        <v>6</v>
      </c>
      <c r="B8" s="4"/>
      <c r="C8" s="5" t="s">
        <v>67</v>
      </c>
      <c r="D8" s="5">
        <v>8447604227</v>
      </c>
      <c r="E8" s="4" t="s">
        <v>55</v>
      </c>
      <c r="F8" s="4">
        <v>2</v>
      </c>
      <c r="G8" s="4"/>
      <c r="H8" s="63"/>
      <c r="I8" s="4"/>
    </row>
    <row r="9" spans="1:9">
      <c r="A9" s="34">
        <v>7</v>
      </c>
      <c r="B9" s="4" t="s">
        <v>425</v>
      </c>
      <c r="C9" s="4" t="s">
        <v>361</v>
      </c>
      <c r="D9" s="4">
        <v>8265871019</v>
      </c>
      <c r="E9" s="4" t="s">
        <v>11</v>
      </c>
      <c r="F9" s="4">
        <v>0</v>
      </c>
      <c r="G9" s="4"/>
      <c r="H9" s="4"/>
      <c r="I9" s="79"/>
    </row>
    <row r="10" spans="1:9">
      <c r="A10" s="34">
        <v>8</v>
      </c>
      <c r="B10" s="4"/>
      <c r="C10" s="4" t="s">
        <v>423</v>
      </c>
      <c r="D10" s="4">
        <v>9810280172</v>
      </c>
      <c r="E10" s="4" t="s">
        <v>11</v>
      </c>
      <c r="F10" s="4">
        <v>1</v>
      </c>
      <c r="G10" s="4"/>
      <c r="H10" s="4"/>
      <c r="I10" s="79"/>
    </row>
    <row r="11" spans="1:9">
      <c r="A11" s="34">
        <v>9</v>
      </c>
      <c r="B11" s="4"/>
      <c r="C11" s="4" t="s">
        <v>403</v>
      </c>
      <c r="D11" s="4">
        <v>9891619697</v>
      </c>
      <c r="E11" s="4" t="s">
        <v>210</v>
      </c>
      <c r="F11" s="4">
        <v>1.5</v>
      </c>
      <c r="G11" s="4"/>
      <c r="H11" s="4"/>
      <c r="I11" s="79"/>
    </row>
    <row r="12" spans="1:9" customFormat="1">
      <c r="A12" s="34">
        <v>10</v>
      </c>
      <c r="B12" s="4"/>
      <c r="C12" s="23" t="s">
        <v>301</v>
      </c>
      <c r="D12" s="4">
        <v>9918865888</v>
      </c>
      <c r="E12" s="4" t="s">
        <v>210</v>
      </c>
      <c r="F12" s="4">
        <v>0</v>
      </c>
      <c r="G12" s="4"/>
      <c r="H12" s="4" t="s">
        <v>158</v>
      </c>
    </row>
    <row r="13" spans="1:9">
      <c r="A13" s="34">
        <v>11</v>
      </c>
      <c r="B13" s="4"/>
      <c r="C13" s="23" t="s">
        <v>311</v>
      </c>
      <c r="D13" s="4">
        <v>9643626211</v>
      </c>
      <c r="E13" s="4" t="s">
        <v>11</v>
      </c>
      <c r="F13" s="4">
        <v>1</v>
      </c>
      <c r="G13" s="4"/>
      <c r="H13" s="4"/>
    </row>
    <row r="14" spans="1:9">
      <c r="A14" s="34">
        <v>12</v>
      </c>
      <c r="B14" s="4"/>
      <c r="C14" s="4" t="s">
        <v>286</v>
      </c>
      <c r="D14" s="4">
        <v>9560313288</v>
      </c>
      <c r="E14" s="4" t="s">
        <v>55</v>
      </c>
      <c r="F14" s="4">
        <v>5</v>
      </c>
      <c r="G14" s="4"/>
      <c r="H14" s="4"/>
      <c r="I14" s="79"/>
    </row>
    <row r="15" spans="1:9">
      <c r="A15" s="34">
        <v>13</v>
      </c>
      <c r="B15" s="4"/>
      <c r="C15" s="4" t="s">
        <v>415</v>
      </c>
      <c r="D15" s="4">
        <v>9958173450</v>
      </c>
      <c r="E15" s="4" t="s">
        <v>11</v>
      </c>
      <c r="F15" s="4">
        <v>1</v>
      </c>
      <c r="G15" s="4"/>
      <c r="H15" s="4"/>
      <c r="I15" s="79"/>
    </row>
    <row r="16" spans="1:9">
      <c r="A16" s="34">
        <v>14</v>
      </c>
      <c r="B16" s="4"/>
      <c r="C16" s="4" t="s">
        <v>416</v>
      </c>
      <c r="D16" s="4"/>
      <c r="E16" s="4" t="s">
        <v>11</v>
      </c>
      <c r="F16" s="4">
        <v>0</v>
      </c>
      <c r="G16" s="4"/>
      <c r="H16" s="4" t="s">
        <v>159</v>
      </c>
      <c r="I16" s="79"/>
    </row>
    <row r="17" spans="1:9" customFormat="1">
      <c r="A17" s="34">
        <v>15</v>
      </c>
      <c r="B17" s="4"/>
      <c r="C17" s="23" t="s">
        <v>331</v>
      </c>
      <c r="D17" s="4">
        <v>9559563155</v>
      </c>
      <c r="E17" s="4" t="s">
        <v>38</v>
      </c>
      <c r="F17" s="4"/>
      <c r="G17" s="4">
        <v>1</v>
      </c>
      <c r="H17" s="4"/>
      <c r="I17" s="34"/>
    </row>
    <row r="18" spans="1:9" customFormat="1">
      <c r="A18" s="34">
        <v>16</v>
      </c>
      <c r="B18" s="4"/>
      <c r="C18" s="23" t="s">
        <v>330</v>
      </c>
      <c r="D18" s="4">
        <v>9999571553</v>
      </c>
      <c r="E18" s="4" t="s">
        <v>11</v>
      </c>
      <c r="F18" s="4">
        <v>1</v>
      </c>
      <c r="G18" s="4"/>
      <c r="H18" s="4"/>
      <c r="I18" s="34"/>
    </row>
    <row r="19" spans="1:9">
      <c r="A19" s="34">
        <v>17</v>
      </c>
      <c r="B19" s="4" t="s">
        <v>314</v>
      </c>
      <c r="C19" s="34" t="s">
        <v>315</v>
      </c>
      <c r="D19" s="34">
        <v>9971703677</v>
      </c>
      <c r="E19" s="4" t="s">
        <v>11</v>
      </c>
      <c r="F19" s="34">
        <v>0</v>
      </c>
      <c r="G19" s="4"/>
      <c r="H19" s="4"/>
      <c r="I19" s="59"/>
    </row>
    <row r="20" spans="1:9">
      <c r="A20" s="34">
        <v>18</v>
      </c>
      <c r="B20" s="4">
        <v>575</v>
      </c>
      <c r="C20" s="34" t="s">
        <v>313</v>
      </c>
      <c r="D20" s="34">
        <v>9990314140</v>
      </c>
      <c r="E20" s="4" t="s">
        <v>10</v>
      </c>
      <c r="F20" s="34">
        <v>1</v>
      </c>
      <c r="G20" s="4"/>
      <c r="H20" s="4"/>
      <c r="I20" s="59"/>
    </row>
    <row r="21" spans="1:9">
      <c r="A21" s="34">
        <v>19</v>
      </c>
      <c r="B21" s="4" t="s">
        <v>104</v>
      </c>
      <c r="C21" s="34" t="s">
        <v>251</v>
      </c>
      <c r="D21" s="4">
        <v>9358052210</v>
      </c>
      <c r="E21" s="4" t="s">
        <v>162</v>
      </c>
      <c r="F21" s="4">
        <v>1.5</v>
      </c>
      <c r="G21" s="61"/>
      <c r="H21" s="4"/>
      <c r="I21" s="59"/>
    </row>
    <row r="22" spans="1:9">
      <c r="A22" s="34">
        <v>20</v>
      </c>
      <c r="B22" s="4">
        <v>589</v>
      </c>
      <c r="C22" s="34" t="s">
        <v>312</v>
      </c>
      <c r="D22" s="4">
        <v>9212222234</v>
      </c>
      <c r="E22" s="4" t="s">
        <v>167</v>
      </c>
      <c r="F22" s="4"/>
      <c r="G22" s="4">
        <v>0</v>
      </c>
      <c r="H22" s="4"/>
      <c r="I22" s="59"/>
    </row>
    <row r="23" spans="1:9">
      <c r="A23" s="34">
        <v>21</v>
      </c>
      <c r="B23" s="4"/>
      <c r="C23" s="34" t="s">
        <v>307</v>
      </c>
      <c r="D23" s="4">
        <v>9212222235</v>
      </c>
      <c r="E23" s="4" t="s">
        <v>74</v>
      </c>
      <c r="F23" s="4"/>
      <c r="G23" s="4">
        <v>2</v>
      </c>
      <c r="H23" s="4"/>
      <c r="I23" s="59"/>
    </row>
    <row r="24" spans="1:9">
      <c r="A24" s="34">
        <v>22</v>
      </c>
      <c r="B24" s="4" t="s">
        <v>164</v>
      </c>
      <c r="C24" s="4" t="s">
        <v>165</v>
      </c>
      <c r="D24" s="4">
        <v>8630919252</v>
      </c>
      <c r="E24" s="4" t="s">
        <v>38</v>
      </c>
      <c r="F24" s="4"/>
      <c r="G24" s="4">
        <v>1</v>
      </c>
      <c r="H24" s="4"/>
      <c r="I24" s="59"/>
    </row>
    <row r="25" spans="1:9">
      <c r="A25" s="34">
        <v>23</v>
      </c>
      <c r="B25" s="4"/>
      <c r="C25" s="4" t="s">
        <v>131</v>
      </c>
      <c r="D25" s="4">
        <v>9716352032</v>
      </c>
      <c r="E25" s="4" t="s">
        <v>385</v>
      </c>
      <c r="F25" s="4"/>
      <c r="G25" s="4">
        <v>3</v>
      </c>
      <c r="H25" s="4"/>
      <c r="I25" s="59"/>
    </row>
    <row r="26" spans="1:9">
      <c r="A26" s="34">
        <v>24</v>
      </c>
      <c r="B26" s="4"/>
      <c r="C26" s="4" t="s">
        <v>132</v>
      </c>
      <c r="D26" s="4">
        <v>9555912750</v>
      </c>
      <c r="E26" s="4" t="s">
        <v>38</v>
      </c>
      <c r="F26" s="4"/>
      <c r="G26" s="4">
        <v>1</v>
      </c>
      <c r="H26" s="4"/>
      <c r="I26" s="59"/>
    </row>
    <row r="27" spans="1:9">
      <c r="A27" s="34">
        <v>25</v>
      </c>
      <c r="B27" s="4"/>
      <c r="C27" s="4" t="s">
        <v>387</v>
      </c>
      <c r="D27" s="4">
        <v>8010261200</v>
      </c>
      <c r="E27" s="4" t="s">
        <v>38</v>
      </c>
      <c r="F27" s="4"/>
      <c r="G27" s="4">
        <v>1</v>
      </c>
      <c r="H27" s="4"/>
      <c r="I27" s="59"/>
    </row>
    <row r="28" spans="1:9">
      <c r="A28" s="34">
        <v>26</v>
      </c>
      <c r="B28" s="4"/>
      <c r="C28" s="4" t="s">
        <v>319</v>
      </c>
      <c r="D28" s="4">
        <v>9650431475</v>
      </c>
      <c r="E28" s="4" t="s">
        <v>74</v>
      </c>
      <c r="F28" s="4">
        <v>1</v>
      </c>
      <c r="G28" s="4">
        <v>2</v>
      </c>
      <c r="H28" s="4"/>
      <c r="I28" s="59"/>
    </row>
    <row r="29" spans="1:9">
      <c r="A29" s="34">
        <v>27</v>
      </c>
      <c r="B29" s="4"/>
      <c r="C29" s="4" t="s">
        <v>242</v>
      </c>
      <c r="D29" s="4">
        <v>9313284176</v>
      </c>
      <c r="E29" s="4" t="s">
        <v>11</v>
      </c>
      <c r="F29" s="4">
        <v>1</v>
      </c>
      <c r="G29" s="4"/>
      <c r="H29" s="4"/>
      <c r="I29" s="59"/>
    </row>
    <row r="30" spans="1:9">
      <c r="A30" s="34">
        <v>28</v>
      </c>
      <c r="B30" s="4"/>
      <c r="C30" s="4" t="s">
        <v>384</v>
      </c>
      <c r="D30" s="4"/>
      <c r="E30" s="4" t="s">
        <v>11</v>
      </c>
      <c r="F30" s="4">
        <v>0</v>
      </c>
      <c r="G30" s="4"/>
      <c r="H30" s="4" t="s">
        <v>159</v>
      </c>
      <c r="I30" s="59"/>
    </row>
    <row r="31" spans="1:9" s="35" customFormat="1">
      <c r="A31" s="34">
        <v>29</v>
      </c>
      <c r="B31" s="34"/>
      <c r="C31" s="34" t="s">
        <v>183</v>
      </c>
      <c r="D31" s="34">
        <v>7830512000</v>
      </c>
      <c r="E31" s="34" t="s">
        <v>11</v>
      </c>
      <c r="F31" s="34">
        <v>0</v>
      </c>
      <c r="G31" s="34"/>
      <c r="H31" s="34" t="s">
        <v>476</v>
      </c>
      <c r="I31" s="34"/>
    </row>
    <row r="32" spans="1:9" s="35" customFormat="1">
      <c r="A32" s="34">
        <v>30</v>
      </c>
      <c r="B32" s="34"/>
      <c r="C32" s="34" t="s">
        <v>24</v>
      </c>
      <c r="D32" s="4">
        <v>9650187600</v>
      </c>
      <c r="E32" s="34" t="s">
        <v>11</v>
      </c>
      <c r="F32" s="34">
        <v>1</v>
      </c>
      <c r="G32" s="34"/>
      <c r="H32" s="34"/>
      <c r="I32" s="34"/>
    </row>
    <row r="33" spans="1:9" s="35" customFormat="1">
      <c r="A33" s="34">
        <v>31</v>
      </c>
      <c r="B33" s="82"/>
      <c r="C33" s="34" t="s">
        <v>220</v>
      </c>
      <c r="D33" s="34">
        <v>8800103483</v>
      </c>
      <c r="E33" s="34" t="s">
        <v>210</v>
      </c>
      <c r="F33" s="34">
        <v>1.5</v>
      </c>
      <c r="G33" s="34"/>
      <c r="H33" s="34"/>
      <c r="I33" s="34"/>
    </row>
    <row r="34" spans="1:9" s="35" customFormat="1">
      <c r="A34" s="34">
        <v>32</v>
      </c>
      <c r="B34" s="34"/>
      <c r="C34" s="4" t="s">
        <v>26</v>
      </c>
      <c r="D34" s="4">
        <v>9999039307</v>
      </c>
      <c r="E34" s="34" t="s">
        <v>10</v>
      </c>
      <c r="F34" s="34">
        <v>1</v>
      </c>
      <c r="G34" s="34"/>
      <c r="H34" s="34"/>
      <c r="I34" s="34"/>
    </row>
    <row r="35" spans="1:9" s="35" customFormat="1">
      <c r="A35" s="34">
        <v>33</v>
      </c>
      <c r="B35" s="34"/>
      <c r="C35" s="4" t="s">
        <v>27</v>
      </c>
      <c r="D35" s="4">
        <v>9810408304</v>
      </c>
      <c r="E35" s="34" t="s">
        <v>49</v>
      </c>
      <c r="F35" s="34">
        <v>3</v>
      </c>
      <c r="G35" s="34"/>
      <c r="H35" s="34"/>
      <c r="I35" s="34"/>
    </row>
    <row r="36" spans="1:9" s="35" customFormat="1">
      <c r="A36" s="34">
        <v>34</v>
      </c>
      <c r="B36" s="34"/>
      <c r="C36" s="4" t="s">
        <v>329</v>
      </c>
      <c r="D36" s="4">
        <v>8004939465</v>
      </c>
      <c r="E36" s="34" t="s">
        <v>55</v>
      </c>
      <c r="F36" s="34">
        <v>0</v>
      </c>
      <c r="G36" s="34"/>
      <c r="H36" s="34"/>
      <c r="I36" s="34"/>
    </row>
    <row r="37" spans="1:9" s="35" customFormat="1">
      <c r="A37" s="34">
        <v>35</v>
      </c>
      <c r="B37" s="34"/>
      <c r="C37" s="4" t="s">
        <v>25</v>
      </c>
      <c r="D37" s="4">
        <v>9540066880</v>
      </c>
      <c r="E37" s="34" t="s">
        <v>11</v>
      </c>
      <c r="F37" s="34">
        <v>1</v>
      </c>
      <c r="G37" s="34"/>
      <c r="H37" s="34"/>
      <c r="I37" s="34"/>
    </row>
    <row r="38" spans="1:9" s="35" customFormat="1">
      <c r="A38" s="34">
        <v>36</v>
      </c>
      <c r="B38" s="34" t="s">
        <v>460</v>
      </c>
      <c r="C38" s="4" t="s">
        <v>459</v>
      </c>
      <c r="D38" s="4">
        <v>9910991241</v>
      </c>
      <c r="E38" s="34" t="s">
        <v>38</v>
      </c>
      <c r="F38" s="34"/>
      <c r="G38" s="34">
        <v>1</v>
      </c>
      <c r="H38" s="34" t="s">
        <v>225</v>
      </c>
      <c r="I38" s="34"/>
    </row>
    <row r="39" spans="1:9" customFormat="1">
      <c r="A39" s="34">
        <v>37</v>
      </c>
      <c r="B39" s="4"/>
      <c r="C39" s="23" t="s">
        <v>176</v>
      </c>
      <c r="D39" s="4">
        <v>9711733186</v>
      </c>
      <c r="E39" s="4" t="s">
        <v>11</v>
      </c>
      <c r="F39" s="4">
        <v>1</v>
      </c>
      <c r="G39" s="4"/>
      <c r="H39" s="59"/>
      <c r="I39" s="64"/>
    </row>
    <row r="40" spans="1:9" s="35" customFormat="1">
      <c r="A40" s="34">
        <v>38</v>
      </c>
      <c r="B40" s="34"/>
      <c r="C40" s="34" t="s">
        <v>267</v>
      </c>
      <c r="D40" s="34">
        <v>9810647473</v>
      </c>
      <c r="E40" s="34" t="s">
        <v>130</v>
      </c>
      <c r="F40" s="34">
        <v>2</v>
      </c>
      <c r="G40" s="34"/>
      <c r="H40" s="34"/>
      <c r="I40" s="34"/>
    </row>
    <row r="41" spans="1:9" s="35" customFormat="1">
      <c r="A41" s="34">
        <v>39</v>
      </c>
      <c r="B41" s="34" t="s">
        <v>397</v>
      </c>
      <c r="C41" s="34" t="s">
        <v>357</v>
      </c>
      <c r="D41" s="34">
        <v>9560907700</v>
      </c>
      <c r="E41" s="34" t="s">
        <v>200</v>
      </c>
      <c r="F41" s="34"/>
      <c r="G41" s="34">
        <v>0</v>
      </c>
      <c r="H41" s="34"/>
      <c r="I41" s="34"/>
    </row>
    <row r="42" spans="1:9">
      <c r="A42" s="62"/>
      <c r="B42" s="57"/>
      <c r="C42" s="57"/>
      <c r="D42" s="57"/>
      <c r="E42" s="57" t="s">
        <v>29</v>
      </c>
      <c r="F42" s="57">
        <f>SUM(F3:F41)</f>
        <v>31.5</v>
      </c>
      <c r="G42" s="57">
        <f>SUM(G3:G41)</f>
        <v>12</v>
      </c>
      <c r="H42" s="57"/>
      <c r="I42" s="57"/>
    </row>
    <row r="43" spans="1:9">
      <c r="A43" s="32"/>
    </row>
    <row r="44" spans="1:9">
      <c r="A44" s="32"/>
    </row>
    <row r="45" spans="1:9">
      <c r="A45" s="32"/>
    </row>
    <row r="46" spans="1:9">
      <c r="A46" s="32"/>
    </row>
    <row r="47" spans="1:9">
      <c r="A47" s="32"/>
    </row>
    <row r="48" spans="1:9">
      <c r="A48" s="32"/>
    </row>
    <row r="49" spans="1:1">
      <c r="A49" s="32"/>
    </row>
    <row r="50" spans="1:1">
      <c r="A50" s="32"/>
    </row>
    <row r="51" spans="1:1">
      <c r="A51" s="32"/>
    </row>
    <row r="52" spans="1:1">
      <c r="A52" s="32"/>
    </row>
    <row r="53" spans="1:1">
      <c r="A53" s="32"/>
    </row>
    <row r="54" spans="1:1">
      <c r="A54" s="32"/>
    </row>
    <row r="55" spans="1:1">
      <c r="A55" s="32"/>
    </row>
    <row r="56" spans="1:1">
      <c r="A56" s="32"/>
    </row>
    <row r="57" spans="1:1">
      <c r="A57" s="32"/>
    </row>
    <row r="58" spans="1:1">
      <c r="A58" s="32"/>
    </row>
    <row r="59" spans="1:1">
      <c r="A59" s="32"/>
    </row>
    <row r="60" spans="1:1">
      <c r="A60" s="32"/>
    </row>
    <row r="61" spans="1:1">
      <c r="A61" s="32"/>
    </row>
    <row r="62" spans="1:1">
      <c r="A62" s="32"/>
    </row>
    <row r="63" spans="1:1">
      <c r="A63" s="32"/>
    </row>
    <row r="64" spans="1:1">
      <c r="A64" s="32"/>
    </row>
    <row r="65" spans="1:1">
      <c r="A65" s="32"/>
    </row>
  </sheetData>
  <mergeCells count="1">
    <mergeCell ref="A1:H1"/>
  </mergeCells>
  <pageMargins left="0.25" right="0.25" top="0.75" bottom="0.75" header="0.3" footer="0.3"/>
  <pageSetup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topLeftCell="A28" zoomScaleNormal="100" workbookViewId="0">
      <selection activeCell="H29" sqref="H29"/>
    </sheetView>
  </sheetViews>
  <sheetFormatPr defaultColWidth="9.140625" defaultRowHeight="23.25"/>
  <cols>
    <col min="1" max="1" width="6.42578125" style="3" bestFit="1" customWidth="1"/>
    <col min="2" max="2" width="20.5703125" style="3" bestFit="1" customWidth="1"/>
    <col min="3" max="3" width="54.42578125" style="3" bestFit="1" customWidth="1"/>
    <col min="4" max="4" width="18.7109375" style="3" bestFit="1" customWidth="1"/>
    <col min="5" max="5" width="20.42578125" style="3" bestFit="1" customWidth="1"/>
    <col min="6" max="7" width="8.140625" style="3" bestFit="1" customWidth="1"/>
    <col min="8" max="8" width="32.42578125" style="3" bestFit="1" customWidth="1"/>
    <col min="9" max="9" width="8.7109375" style="3" bestFit="1" customWidth="1"/>
    <col min="10" max="16384" width="9.140625" style="3"/>
  </cols>
  <sheetData>
    <row r="1" spans="1:9">
      <c r="A1" s="87" t="s">
        <v>466</v>
      </c>
      <c r="B1" s="87"/>
      <c r="C1" s="87"/>
      <c r="D1" s="87"/>
      <c r="E1" s="87"/>
      <c r="F1" s="87"/>
      <c r="G1" s="87"/>
      <c r="H1" s="87"/>
      <c r="I1" s="38">
        <v>1</v>
      </c>
    </row>
    <row r="2" spans="1:9">
      <c r="A2" s="11" t="s">
        <v>41</v>
      </c>
      <c r="B2" s="11" t="s">
        <v>1</v>
      </c>
      <c r="C2" s="11" t="s">
        <v>30</v>
      </c>
      <c r="D2" s="11" t="s">
        <v>31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</row>
    <row r="3" spans="1:9">
      <c r="A3" s="4">
        <v>1</v>
      </c>
      <c r="B3" s="4"/>
      <c r="C3" s="4" t="s">
        <v>160</v>
      </c>
      <c r="D3" s="5">
        <v>8700196116</v>
      </c>
      <c r="E3" s="4" t="s">
        <v>11</v>
      </c>
      <c r="F3" s="4">
        <v>1</v>
      </c>
      <c r="G3" s="4"/>
      <c r="H3" s="67"/>
      <c r="I3" s="4"/>
    </row>
    <row r="4" spans="1:9">
      <c r="A4" s="60">
        <v>2</v>
      </c>
      <c r="B4" s="4"/>
      <c r="C4" s="4" t="s">
        <v>54</v>
      </c>
      <c r="D4" s="4">
        <v>9958897368</v>
      </c>
      <c r="E4" s="4" t="s">
        <v>49</v>
      </c>
      <c r="F4" s="4">
        <v>3</v>
      </c>
      <c r="G4" s="4"/>
      <c r="H4" s="4"/>
      <c r="I4" s="4"/>
    </row>
    <row r="5" spans="1:9">
      <c r="A5" s="4">
        <v>3</v>
      </c>
      <c r="B5" s="4"/>
      <c r="C5" s="4" t="s">
        <v>280</v>
      </c>
      <c r="D5" s="4">
        <v>9818921234</v>
      </c>
      <c r="E5" s="4" t="s">
        <v>55</v>
      </c>
      <c r="F5" s="4">
        <v>2</v>
      </c>
      <c r="G5" s="4"/>
      <c r="H5" s="4" t="s">
        <v>447</v>
      </c>
      <c r="I5" s="4"/>
    </row>
    <row r="6" spans="1:9">
      <c r="A6" s="60">
        <v>4</v>
      </c>
      <c r="B6" s="4" t="s">
        <v>56</v>
      </c>
      <c r="C6" s="4" t="s">
        <v>57</v>
      </c>
      <c r="D6" s="4">
        <v>9818120285</v>
      </c>
      <c r="E6" s="4" t="s">
        <v>38</v>
      </c>
      <c r="F6" s="4"/>
      <c r="G6" s="4">
        <v>1</v>
      </c>
      <c r="H6" s="4"/>
      <c r="I6" s="4"/>
    </row>
    <row r="7" spans="1:9">
      <c r="A7" s="4">
        <v>5</v>
      </c>
      <c r="B7" s="4"/>
      <c r="C7" s="4" t="s">
        <v>434</v>
      </c>
      <c r="D7" s="4">
        <v>9811447114</v>
      </c>
      <c r="E7" s="4" t="s">
        <v>74</v>
      </c>
      <c r="F7" s="4"/>
      <c r="G7" s="4">
        <v>0</v>
      </c>
      <c r="H7" s="4" t="s">
        <v>225</v>
      </c>
      <c r="I7" s="4"/>
    </row>
    <row r="8" spans="1:9">
      <c r="A8" s="60">
        <v>6</v>
      </c>
      <c r="B8" s="4"/>
      <c r="C8" s="4" t="s">
        <v>58</v>
      </c>
      <c r="D8" s="4">
        <v>9650924040</v>
      </c>
      <c r="E8" s="4" t="s">
        <v>74</v>
      </c>
      <c r="F8" s="4"/>
      <c r="G8" s="4">
        <v>2</v>
      </c>
      <c r="H8" s="4"/>
      <c r="I8" s="4"/>
    </row>
    <row r="9" spans="1:9">
      <c r="A9" s="4">
        <v>7</v>
      </c>
      <c r="B9" s="4"/>
      <c r="C9" s="4" t="s">
        <v>59</v>
      </c>
      <c r="D9" s="4">
        <v>7044206797</v>
      </c>
      <c r="E9" s="4" t="s">
        <v>11</v>
      </c>
      <c r="F9" s="4">
        <v>1</v>
      </c>
      <c r="G9" s="4"/>
      <c r="H9" s="63"/>
      <c r="I9" s="4"/>
    </row>
    <row r="10" spans="1:9">
      <c r="A10" s="60">
        <v>8</v>
      </c>
      <c r="B10" s="4"/>
      <c r="C10" s="4" t="s">
        <v>272</v>
      </c>
      <c r="D10" s="4">
        <v>8448938134</v>
      </c>
      <c r="E10" s="4" t="s">
        <v>55</v>
      </c>
      <c r="F10" s="4">
        <v>2</v>
      </c>
      <c r="G10" s="4"/>
      <c r="H10" s="4"/>
      <c r="I10" s="4"/>
    </row>
    <row r="11" spans="1:9">
      <c r="A11" s="4">
        <v>9</v>
      </c>
      <c r="B11" s="4"/>
      <c r="C11" s="4" t="s">
        <v>60</v>
      </c>
      <c r="D11" s="4">
        <v>9871186333</v>
      </c>
      <c r="E11" s="4" t="s">
        <v>38</v>
      </c>
      <c r="F11" s="4"/>
      <c r="G11" s="4">
        <v>1</v>
      </c>
      <c r="H11" s="4"/>
      <c r="I11" s="4"/>
    </row>
    <row r="12" spans="1:9">
      <c r="A12" s="60">
        <v>10</v>
      </c>
      <c r="B12" s="4"/>
      <c r="C12" s="49" t="s">
        <v>166</v>
      </c>
      <c r="D12" s="4">
        <v>9560812371</v>
      </c>
      <c r="E12" s="4" t="s">
        <v>167</v>
      </c>
      <c r="F12" s="4"/>
      <c r="G12" s="4">
        <v>2</v>
      </c>
      <c r="H12" s="4" t="s">
        <v>477</v>
      </c>
      <c r="I12" s="4"/>
    </row>
    <row r="13" spans="1:9">
      <c r="A13" s="4">
        <v>11</v>
      </c>
      <c r="B13" s="4"/>
      <c r="C13" s="4" t="s">
        <v>243</v>
      </c>
      <c r="D13" s="4">
        <v>9999933584</v>
      </c>
      <c r="E13" s="4" t="s">
        <v>244</v>
      </c>
      <c r="F13" s="4"/>
      <c r="G13" s="4">
        <v>1.5</v>
      </c>
      <c r="H13" s="4"/>
      <c r="I13" s="4"/>
    </row>
    <row r="14" spans="1:9">
      <c r="A14" s="60">
        <v>12</v>
      </c>
      <c r="B14" s="4"/>
      <c r="C14" s="4" t="s">
        <v>288</v>
      </c>
      <c r="D14" s="4">
        <v>8851410101</v>
      </c>
      <c r="E14" s="4" t="s">
        <v>38</v>
      </c>
      <c r="F14" s="4"/>
      <c r="G14" s="4">
        <v>1</v>
      </c>
      <c r="H14" s="4"/>
      <c r="I14" s="4"/>
    </row>
    <row r="15" spans="1:9">
      <c r="A15" s="4">
        <v>13</v>
      </c>
      <c r="B15" s="4"/>
      <c r="C15" s="4" t="s">
        <v>198</v>
      </c>
      <c r="D15" s="4">
        <v>9210769610</v>
      </c>
      <c r="E15" s="4" t="s">
        <v>74</v>
      </c>
      <c r="F15" s="4"/>
      <c r="G15" s="4">
        <v>2</v>
      </c>
      <c r="H15" s="4"/>
      <c r="I15" s="4"/>
    </row>
    <row r="16" spans="1:9">
      <c r="A16" s="60">
        <v>14</v>
      </c>
      <c r="B16" s="4"/>
      <c r="C16" s="4" t="s">
        <v>214</v>
      </c>
      <c r="D16" s="4">
        <v>9999875999</v>
      </c>
      <c r="E16" s="4" t="s">
        <v>11</v>
      </c>
      <c r="F16" s="4">
        <v>1</v>
      </c>
      <c r="G16" s="4"/>
      <c r="H16" s="4"/>
      <c r="I16" s="4"/>
    </row>
    <row r="17" spans="1:10">
      <c r="A17" s="4">
        <v>15</v>
      </c>
      <c r="B17" s="4"/>
      <c r="C17" s="4" t="s">
        <v>61</v>
      </c>
      <c r="D17" s="4">
        <v>9599263026</v>
      </c>
      <c r="E17" s="4" t="s">
        <v>11</v>
      </c>
      <c r="F17" s="4">
        <v>1</v>
      </c>
      <c r="G17" s="4"/>
      <c r="H17" s="4"/>
      <c r="I17" s="4"/>
      <c r="J17" s="3" t="s">
        <v>139</v>
      </c>
    </row>
    <row r="18" spans="1:10">
      <c r="A18" s="60">
        <v>16</v>
      </c>
      <c r="B18" s="4"/>
      <c r="C18" s="4" t="s">
        <v>135</v>
      </c>
      <c r="D18" s="5">
        <v>8920765211</v>
      </c>
      <c r="E18" s="4" t="s">
        <v>213</v>
      </c>
      <c r="F18" s="4">
        <v>1</v>
      </c>
      <c r="G18" s="4">
        <v>0</v>
      </c>
      <c r="H18" s="4"/>
      <c r="I18" s="4"/>
    </row>
    <row r="19" spans="1:10">
      <c r="A19" s="4">
        <v>17</v>
      </c>
      <c r="B19" s="4"/>
      <c r="C19" s="4" t="s">
        <v>283</v>
      </c>
      <c r="D19" s="5">
        <v>9990202929</v>
      </c>
      <c r="E19" s="4" t="s">
        <v>11</v>
      </c>
      <c r="F19" s="4">
        <v>1</v>
      </c>
      <c r="G19" s="4"/>
      <c r="H19" s="4"/>
      <c r="I19" s="4"/>
    </row>
    <row r="20" spans="1:10">
      <c r="A20" s="60">
        <v>18</v>
      </c>
      <c r="B20" s="4"/>
      <c r="C20" s="4" t="s">
        <v>439</v>
      </c>
      <c r="D20" s="5">
        <v>7838481624</v>
      </c>
      <c r="E20" s="4" t="s">
        <v>200</v>
      </c>
      <c r="F20" s="4"/>
      <c r="G20" s="4">
        <v>1.5</v>
      </c>
      <c r="H20" s="4" t="s">
        <v>225</v>
      </c>
      <c r="I20" s="4"/>
    </row>
    <row r="21" spans="1:10" customFormat="1">
      <c r="A21" s="4">
        <v>19</v>
      </c>
      <c r="B21" s="4"/>
      <c r="C21" s="4" t="s">
        <v>211</v>
      </c>
      <c r="D21" s="4">
        <v>7838602829</v>
      </c>
      <c r="E21" s="4" t="s">
        <v>200</v>
      </c>
      <c r="F21" s="4"/>
      <c r="G21" s="4">
        <v>1.5</v>
      </c>
      <c r="H21" s="4"/>
      <c r="I21" s="4"/>
    </row>
    <row r="22" spans="1:10" customFormat="1">
      <c r="A22" s="60">
        <v>20</v>
      </c>
      <c r="B22" s="4"/>
      <c r="C22" s="4" t="s">
        <v>410</v>
      </c>
      <c r="D22" s="4">
        <v>9873481343</v>
      </c>
      <c r="E22" s="4" t="s">
        <v>10</v>
      </c>
      <c r="F22" s="4">
        <v>0</v>
      </c>
      <c r="G22" s="4"/>
      <c r="H22" s="4" t="s">
        <v>158</v>
      </c>
      <c r="I22" s="4"/>
    </row>
    <row r="23" spans="1:10" customFormat="1">
      <c r="A23" s="4">
        <v>21</v>
      </c>
      <c r="B23" s="4"/>
      <c r="C23" s="23" t="s">
        <v>149</v>
      </c>
      <c r="D23" s="4">
        <v>9911142213</v>
      </c>
      <c r="E23" s="4" t="s">
        <v>55</v>
      </c>
      <c r="F23" s="4">
        <v>2</v>
      </c>
      <c r="G23" s="4"/>
      <c r="H23" s="4"/>
      <c r="I23" s="4"/>
    </row>
    <row r="24" spans="1:10">
      <c r="A24" s="60">
        <v>22</v>
      </c>
      <c r="B24" s="4"/>
      <c r="C24" s="23" t="s">
        <v>148</v>
      </c>
      <c r="D24" s="4">
        <v>8743939067</v>
      </c>
      <c r="E24" s="4" t="s">
        <v>55</v>
      </c>
      <c r="F24" s="4">
        <v>2</v>
      </c>
      <c r="G24" s="4"/>
      <c r="H24" s="4" t="s">
        <v>182</v>
      </c>
      <c r="I24" s="4"/>
    </row>
    <row r="25" spans="1:10">
      <c r="A25" s="4">
        <v>23</v>
      </c>
      <c r="B25" s="4"/>
      <c r="C25" s="23" t="s">
        <v>150</v>
      </c>
      <c r="D25" s="4">
        <v>9540951262</v>
      </c>
      <c r="E25" s="4" t="s">
        <v>130</v>
      </c>
      <c r="F25" s="4">
        <v>1</v>
      </c>
      <c r="G25" s="4"/>
      <c r="H25" s="4"/>
      <c r="I25" s="4"/>
    </row>
    <row r="26" spans="1:10" customFormat="1">
      <c r="A26" s="60">
        <v>24</v>
      </c>
      <c r="B26" s="4"/>
      <c r="C26" s="23" t="s">
        <v>153</v>
      </c>
      <c r="D26" s="4">
        <v>9871836085</v>
      </c>
      <c r="E26" s="4" t="s">
        <v>133</v>
      </c>
      <c r="F26" s="4">
        <v>4</v>
      </c>
      <c r="G26" s="4"/>
      <c r="H26" s="4"/>
      <c r="I26" s="4"/>
    </row>
    <row r="27" spans="1:10">
      <c r="A27" s="4">
        <v>25</v>
      </c>
      <c r="B27" s="4"/>
      <c r="C27" s="4" t="s">
        <v>239</v>
      </c>
      <c r="D27" s="4">
        <v>9971338754</v>
      </c>
      <c r="E27" s="4" t="s">
        <v>10</v>
      </c>
      <c r="F27" s="4">
        <v>1</v>
      </c>
      <c r="G27" s="4"/>
      <c r="H27" s="4"/>
      <c r="I27" s="59"/>
    </row>
    <row r="28" spans="1:10">
      <c r="A28" s="60">
        <v>26</v>
      </c>
      <c r="B28" s="4" t="s">
        <v>339</v>
      </c>
      <c r="C28" s="4" t="s">
        <v>334</v>
      </c>
      <c r="D28" s="4">
        <v>7982123588</v>
      </c>
      <c r="E28" s="4" t="s">
        <v>210</v>
      </c>
      <c r="F28" s="4">
        <v>1</v>
      </c>
      <c r="G28" s="4"/>
      <c r="H28" s="4"/>
      <c r="I28" s="59"/>
    </row>
    <row r="29" spans="1:10">
      <c r="A29" s="4">
        <v>27</v>
      </c>
      <c r="B29" s="4"/>
      <c r="C29" s="4" t="s">
        <v>442</v>
      </c>
      <c r="D29" s="4">
        <v>8510032710</v>
      </c>
      <c r="E29" s="4" t="s">
        <v>11</v>
      </c>
      <c r="F29" s="4">
        <v>1</v>
      </c>
      <c r="G29" s="4"/>
      <c r="H29" s="4"/>
      <c r="I29" s="59"/>
    </row>
    <row r="30" spans="1:10">
      <c r="A30" s="60">
        <v>28</v>
      </c>
      <c r="B30" s="4"/>
      <c r="C30" s="4" t="s">
        <v>365</v>
      </c>
      <c r="D30" s="4">
        <v>8700293135</v>
      </c>
      <c r="E30" s="4" t="s">
        <v>11</v>
      </c>
      <c r="F30" s="4">
        <v>0</v>
      </c>
      <c r="G30" s="4"/>
      <c r="H30" s="4" t="s">
        <v>158</v>
      </c>
      <c r="I30" s="59"/>
    </row>
    <row r="31" spans="1:10">
      <c r="A31" s="4">
        <v>29</v>
      </c>
      <c r="B31" s="4" t="s">
        <v>340</v>
      </c>
      <c r="C31" s="4" t="s">
        <v>335</v>
      </c>
      <c r="D31" s="4">
        <v>8287371065</v>
      </c>
      <c r="E31" s="4" t="s">
        <v>9</v>
      </c>
      <c r="F31" s="4">
        <v>2</v>
      </c>
      <c r="G31" s="4"/>
      <c r="H31" s="4"/>
      <c r="I31" s="59"/>
    </row>
    <row r="32" spans="1:10">
      <c r="A32" s="60">
        <v>30</v>
      </c>
      <c r="B32" s="4" t="s">
        <v>341</v>
      </c>
      <c r="C32" s="4" t="s">
        <v>336</v>
      </c>
      <c r="D32" s="4">
        <v>8979367971</v>
      </c>
      <c r="E32" s="4" t="s">
        <v>351</v>
      </c>
      <c r="F32" s="4"/>
      <c r="G32" s="4">
        <v>2.5</v>
      </c>
      <c r="H32" s="4"/>
      <c r="I32" s="59"/>
    </row>
    <row r="33" spans="1:9">
      <c r="A33" s="4">
        <v>31</v>
      </c>
      <c r="B33" s="4" t="s">
        <v>342</v>
      </c>
      <c r="C33" s="4" t="s">
        <v>337</v>
      </c>
      <c r="D33" s="4">
        <v>7065219625</v>
      </c>
      <c r="E33" s="4" t="s">
        <v>55</v>
      </c>
      <c r="F33" s="4">
        <v>2</v>
      </c>
      <c r="G33" s="4"/>
      <c r="H33" s="4"/>
      <c r="I33" s="59"/>
    </row>
    <row r="34" spans="1:9">
      <c r="A34" s="60">
        <v>32</v>
      </c>
      <c r="B34" s="4" t="s">
        <v>343</v>
      </c>
      <c r="C34" s="4" t="s">
        <v>338</v>
      </c>
      <c r="D34" s="4">
        <v>7011542605</v>
      </c>
      <c r="E34" s="4" t="s">
        <v>11</v>
      </c>
      <c r="F34" s="4">
        <v>1</v>
      </c>
      <c r="G34" s="4"/>
      <c r="H34" s="4"/>
      <c r="I34" s="59"/>
    </row>
    <row r="35" spans="1:9">
      <c r="A35" s="4">
        <v>33</v>
      </c>
      <c r="B35" s="4" t="s">
        <v>390</v>
      </c>
      <c r="C35" s="4" t="s">
        <v>391</v>
      </c>
      <c r="D35" s="4">
        <v>9315613920</v>
      </c>
      <c r="E35" s="4" t="s">
        <v>252</v>
      </c>
      <c r="F35" s="4"/>
      <c r="G35" s="4">
        <v>0.5</v>
      </c>
      <c r="H35" s="4"/>
      <c r="I35" s="59"/>
    </row>
    <row r="36" spans="1:9">
      <c r="A36" s="60">
        <v>34</v>
      </c>
      <c r="B36" s="4"/>
      <c r="C36" s="4" t="s">
        <v>394</v>
      </c>
      <c r="D36" s="4">
        <v>8076342751</v>
      </c>
      <c r="E36" s="4" t="s">
        <v>9</v>
      </c>
      <c r="F36" s="4">
        <v>2</v>
      </c>
      <c r="G36" s="4"/>
      <c r="H36" s="4"/>
      <c r="I36" s="59"/>
    </row>
    <row r="37" spans="1:9">
      <c r="A37" s="4">
        <v>35</v>
      </c>
      <c r="B37" s="4"/>
      <c r="C37" s="4" t="s">
        <v>404</v>
      </c>
      <c r="D37" s="4">
        <v>6398364185</v>
      </c>
      <c r="E37" s="4" t="s">
        <v>11</v>
      </c>
      <c r="F37" s="4">
        <v>1</v>
      </c>
      <c r="G37" s="4"/>
      <c r="H37" s="4"/>
      <c r="I37" s="59"/>
    </row>
    <row r="38" spans="1:9">
      <c r="A38" s="60">
        <v>36</v>
      </c>
      <c r="B38" s="4" t="s">
        <v>400</v>
      </c>
      <c r="C38" s="4" t="s">
        <v>401</v>
      </c>
      <c r="D38" s="4">
        <v>8826782512</v>
      </c>
      <c r="E38" s="4" t="s">
        <v>162</v>
      </c>
      <c r="F38" s="4">
        <v>1.5</v>
      </c>
      <c r="G38" s="4"/>
      <c r="H38" s="4"/>
      <c r="I38" s="59"/>
    </row>
    <row r="39" spans="1:9">
      <c r="A39" s="68"/>
      <c r="B39" s="68"/>
      <c r="C39" s="68"/>
      <c r="D39" s="68"/>
      <c r="E39" s="68" t="s">
        <v>29</v>
      </c>
      <c r="F39" s="68">
        <f>SUM(F3:F38)</f>
        <v>34.5</v>
      </c>
      <c r="G39" s="68">
        <f>SUM(G3:G38)</f>
        <v>16.5</v>
      </c>
      <c r="H39" s="68"/>
      <c r="I39" s="68"/>
    </row>
    <row r="40" spans="1:9">
      <c r="H40" s="37"/>
    </row>
  </sheetData>
  <mergeCells count="1">
    <mergeCell ref="A1:H1"/>
  </mergeCells>
  <pageMargins left="0.25" right="0.25" top="0.75" bottom="0.75" header="0.3" footer="0.3"/>
  <pageSetup scale="5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topLeftCell="A13" zoomScale="89" zoomScaleNormal="89" workbookViewId="0">
      <selection activeCell="H22" sqref="H22"/>
    </sheetView>
  </sheetViews>
  <sheetFormatPr defaultColWidth="9.140625" defaultRowHeight="23.25"/>
  <cols>
    <col min="1" max="1" width="6.28515625" style="3" customWidth="1"/>
    <col min="2" max="2" width="27.85546875" style="3" bestFit="1" customWidth="1"/>
    <col min="3" max="3" width="31.140625" style="3" bestFit="1" customWidth="1"/>
    <col min="4" max="4" width="19.28515625" style="3" customWidth="1"/>
    <col min="5" max="5" width="20.42578125" style="3" customWidth="1"/>
    <col min="6" max="7" width="7.5703125" style="3" bestFit="1" customWidth="1"/>
    <col min="8" max="8" width="35.42578125" style="3" bestFit="1" customWidth="1"/>
    <col min="9" max="9" width="8.7109375" style="3" bestFit="1" customWidth="1"/>
    <col min="10" max="16384" width="9.140625" style="3"/>
  </cols>
  <sheetData>
    <row r="1" spans="1:9">
      <c r="A1" s="88" t="s">
        <v>467</v>
      </c>
      <c r="B1" s="89"/>
      <c r="C1" s="89"/>
      <c r="D1" s="89"/>
      <c r="E1" s="89"/>
      <c r="F1" s="89"/>
      <c r="G1" s="89"/>
      <c r="H1" s="89"/>
      <c r="I1" s="38">
        <v>1</v>
      </c>
    </row>
    <row r="2" spans="1:9">
      <c r="A2" s="10" t="s">
        <v>41</v>
      </c>
      <c r="B2" s="11" t="s">
        <v>1</v>
      </c>
      <c r="C2" s="11" t="s">
        <v>30</v>
      </c>
      <c r="D2" s="11" t="s">
        <v>83</v>
      </c>
      <c r="E2" s="11" t="s">
        <v>4</v>
      </c>
      <c r="F2" s="11" t="s">
        <v>5</v>
      </c>
      <c r="G2" s="11" t="s">
        <v>6</v>
      </c>
      <c r="H2" s="11" t="s">
        <v>7</v>
      </c>
      <c r="I2" s="17" t="s">
        <v>8</v>
      </c>
    </row>
    <row r="3" spans="1:9" s="1" customFormat="1">
      <c r="A3" s="2">
        <v>1</v>
      </c>
      <c r="B3" s="2"/>
      <c r="C3" s="2" t="s">
        <v>241</v>
      </c>
      <c r="D3" s="2">
        <v>7303434199</v>
      </c>
      <c r="E3" s="2" t="s">
        <v>162</v>
      </c>
      <c r="F3" s="2">
        <v>2.5</v>
      </c>
      <c r="G3" s="2"/>
      <c r="H3" s="2"/>
      <c r="I3" s="2"/>
    </row>
    <row r="4" spans="1:9" s="1" customFormat="1">
      <c r="A4" s="2">
        <v>2</v>
      </c>
      <c r="B4" s="2"/>
      <c r="C4" s="2" t="s">
        <v>436</v>
      </c>
      <c r="D4" s="2"/>
      <c r="E4" s="2" t="s">
        <v>273</v>
      </c>
      <c r="F4" s="2">
        <v>0.5</v>
      </c>
      <c r="G4" s="2"/>
      <c r="H4" s="2" t="s">
        <v>435</v>
      </c>
      <c r="I4" s="2"/>
    </row>
    <row r="5" spans="1:9" s="1" customFormat="1">
      <c r="A5" s="2">
        <v>3</v>
      </c>
      <c r="B5" s="2"/>
      <c r="C5" s="2" t="s">
        <v>262</v>
      </c>
      <c r="D5" s="2"/>
      <c r="E5" s="2" t="s">
        <v>218</v>
      </c>
      <c r="F5" s="2">
        <v>0.5</v>
      </c>
      <c r="G5" s="2"/>
      <c r="H5" s="2"/>
      <c r="I5" s="2"/>
    </row>
    <row r="6" spans="1:9" s="1" customFormat="1">
      <c r="A6" s="2">
        <v>4</v>
      </c>
      <c r="B6" s="2" t="s">
        <v>380</v>
      </c>
      <c r="C6" s="2" t="s">
        <v>380</v>
      </c>
      <c r="D6" s="2">
        <v>8295578551</v>
      </c>
      <c r="E6" s="2" t="s">
        <v>218</v>
      </c>
      <c r="F6" s="2">
        <v>0.5</v>
      </c>
      <c r="G6" s="2"/>
      <c r="H6" s="2"/>
      <c r="I6" s="2"/>
    </row>
    <row r="7" spans="1:9" s="1" customFormat="1">
      <c r="A7" s="2">
        <v>5</v>
      </c>
      <c r="B7" s="2"/>
      <c r="C7" s="2" t="s">
        <v>271</v>
      </c>
      <c r="D7" s="2"/>
      <c r="E7" s="2" t="s">
        <v>10</v>
      </c>
      <c r="F7" s="2">
        <v>1</v>
      </c>
      <c r="G7" s="2"/>
      <c r="H7" s="2"/>
      <c r="I7" s="2"/>
    </row>
    <row r="8" spans="1:9" s="1" customFormat="1">
      <c r="A8" s="2">
        <v>6</v>
      </c>
      <c r="B8" s="2"/>
      <c r="C8" s="2" t="s">
        <v>310</v>
      </c>
      <c r="D8" s="2"/>
      <c r="E8" s="2" t="s">
        <v>10</v>
      </c>
      <c r="F8" s="2">
        <v>1</v>
      </c>
      <c r="G8" s="2"/>
      <c r="H8" s="2"/>
      <c r="I8" s="2"/>
    </row>
    <row r="9" spans="1:9" s="1" customFormat="1">
      <c r="A9" s="2">
        <v>7</v>
      </c>
      <c r="B9" s="2"/>
      <c r="C9" s="2" t="s">
        <v>123</v>
      </c>
      <c r="D9" s="2"/>
      <c r="E9" s="2" t="s">
        <v>34</v>
      </c>
      <c r="F9" s="2">
        <v>3</v>
      </c>
      <c r="G9" s="2"/>
      <c r="H9" s="2"/>
      <c r="I9" s="74"/>
    </row>
    <row r="10" spans="1:9" s="1" customFormat="1">
      <c r="A10" s="2">
        <v>8</v>
      </c>
      <c r="B10" s="2"/>
      <c r="C10" s="2" t="s">
        <v>291</v>
      </c>
      <c r="D10" s="2"/>
      <c r="E10" s="2" t="s">
        <v>210</v>
      </c>
      <c r="F10" s="2">
        <v>1.5</v>
      </c>
      <c r="G10" s="2"/>
      <c r="H10" s="2"/>
      <c r="I10" s="80"/>
    </row>
    <row r="11" spans="1:9" s="1" customFormat="1">
      <c r="A11" s="2">
        <v>9</v>
      </c>
      <c r="B11" s="2"/>
      <c r="C11" s="2" t="s">
        <v>433</v>
      </c>
      <c r="D11" s="2">
        <v>9315946625</v>
      </c>
      <c r="E11" s="2" t="s">
        <v>11</v>
      </c>
      <c r="F11" s="2">
        <v>1</v>
      </c>
      <c r="G11" s="2"/>
      <c r="H11" s="2" t="s">
        <v>405</v>
      </c>
      <c r="I11" s="80"/>
    </row>
    <row r="12" spans="1:9">
      <c r="A12" s="2">
        <v>10</v>
      </c>
      <c r="B12" s="4" t="s">
        <v>84</v>
      </c>
      <c r="C12" s="5" t="s">
        <v>85</v>
      </c>
      <c r="D12" s="4">
        <v>9313489432</v>
      </c>
      <c r="E12" s="4" t="s">
        <v>55</v>
      </c>
      <c r="F12" s="12">
        <v>3</v>
      </c>
      <c r="G12" s="12"/>
      <c r="H12" s="4" t="s">
        <v>484</v>
      </c>
      <c r="I12" s="8"/>
    </row>
    <row r="13" spans="1:9">
      <c r="A13" s="2">
        <v>11</v>
      </c>
      <c r="B13" s="4"/>
      <c r="C13" s="5" t="s">
        <v>186</v>
      </c>
      <c r="D13" s="4">
        <v>7906292994</v>
      </c>
      <c r="E13" s="4" t="s">
        <v>55</v>
      </c>
      <c r="F13" s="12">
        <v>2</v>
      </c>
      <c r="G13" s="12"/>
      <c r="H13" s="4"/>
      <c r="I13" s="8"/>
    </row>
    <row r="14" spans="1:9">
      <c r="A14" s="2">
        <v>12</v>
      </c>
      <c r="B14" s="4"/>
      <c r="C14" s="5" t="s">
        <v>230</v>
      </c>
      <c r="D14" s="4">
        <v>9582919520</v>
      </c>
      <c r="E14" s="4" t="s">
        <v>244</v>
      </c>
      <c r="F14" s="12"/>
      <c r="G14" s="12">
        <v>0</v>
      </c>
      <c r="H14" s="4"/>
      <c r="I14" s="8"/>
    </row>
    <row r="15" spans="1:9">
      <c r="A15" s="2">
        <v>13</v>
      </c>
      <c r="B15" s="4"/>
      <c r="C15" s="5" t="s">
        <v>316</v>
      </c>
      <c r="D15" s="4">
        <v>8630263505</v>
      </c>
      <c r="E15" s="4" t="s">
        <v>11</v>
      </c>
      <c r="F15" s="12">
        <v>1</v>
      </c>
      <c r="G15" s="12"/>
      <c r="H15" s="4" t="s">
        <v>480</v>
      </c>
      <c r="I15" s="8"/>
    </row>
    <row r="16" spans="1:9">
      <c r="A16" s="2">
        <v>14</v>
      </c>
      <c r="B16" s="4"/>
      <c r="C16" s="5" t="s">
        <v>178</v>
      </c>
      <c r="D16" s="4">
        <v>991053038</v>
      </c>
      <c r="E16" s="4" t="s">
        <v>130</v>
      </c>
      <c r="F16" s="12">
        <v>1</v>
      </c>
      <c r="G16" s="12"/>
      <c r="H16" s="4"/>
      <c r="I16" s="8"/>
    </row>
    <row r="17" spans="1:9">
      <c r="A17" s="2">
        <v>15</v>
      </c>
      <c r="B17" s="4" t="s">
        <v>429</v>
      </c>
      <c r="C17" s="5" t="s">
        <v>86</v>
      </c>
      <c r="D17" s="4">
        <v>8447777798</v>
      </c>
      <c r="E17" s="4" t="s">
        <v>200</v>
      </c>
      <c r="F17" s="12"/>
      <c r="G17" s="12">
        <v>1.5</v>
      </c>
      <c r="H17" s="4"/>
      <c r="I17" s="8"/>
    </row>
    <row r="18" spans="1:9">
      <c r="A18" s="2">
        <v>16</v>
      </c>
      <c r="B18" s="4"/>
      <c r="C18" s="5" t="s">
        <v>87</v>
      </c>
      <c r="D18" s="4">
        <v>8826539130</v>
      </c>
      <c r="E18" s="4" t="s">
        <v>11</v>
      </c>
      <c r="F18" s="12">
        <v>1</v>
      </c>
      <c r="G18" s="12"/>
      <c r="H18" s="4"/>
      <c r="I18" s="8"/>
    </row>
    <row r="19" spans="1:9">
      <c r="A19" s="2">
        <v>17</v>
      </c>
      <c r="B19" s="4"/>
      <c r="C19" s="5" t="s">
        <v>455</v>
      </c>
      <c r="D19" s="4">
        <v>9068227069</v>
      </c>
      <c r="E19" s="4" t="s">
        <v>273</v>
      </c>
      <c r="F19" s="12">
        <v>0</v>
      </c>
      <c r="G19" s="12"/>
      <c r="H19" s="4" t="s">
        <v>159</v>
      </c>
      <c r="I19" s="8"/>
    </row>
    <row r="20" spans="1:9">
      <c r="A20" s="2">
        <v>18</v>
      </c>
      <c r="B20" s="4"/>
      <c r="C20" s="5" t="s">
        <v>192</v>
      </c>
      <c r="D20" s="4">
        <v>9711861864</v>
      </c>
      <c r="E20" s="4" t="s">
        <v>55</v>
      </c>
      <c r="F20" s="12">
        <v>0</v>
      </c>
      <c r="G20" s="12"/>
      <c r="H20" s="4" t="s">
        <v>461</v>
      </c>
      <c r="I20" s="8"/>
    </row>
    <row r="21" spans="1:9">
      <c r="A21" s="2">
        <v>19</v>
      </c>
      <c r="B21" s="4"/>
      <c r="C21" s="5" t="s">
        <v>456</v>
      </c>
      <c r="D21" s="4"/>
      <c r="E21" s="4" t="s">
        <v>10</v>
      </c>
      <c r="F21" s="12">
        <v>1</v>
      </c>
      <c r="G21" s="12"/>
      <c r="H21" s="4" t="s">
        <v>405</v>
      </c>
      <c r="I21" s="8"/>
    </row>
    <row r="22" spans="1:9">
      <c r="A22" s="2">
        <v>20</v>
      </c>
      <c r="B22" s="4" t="s">
        <v>145</v>
      </c>
      <c r="C22" s="5" t="s">
        <v>144</v>
      </c>
      <c r="D22" s="4">
        <v>9313968927</v>
      </c>
      <c r="E22" s="4" t="s">
        <v>11</v>
      </c>
      <c r="F22" s="12">
        <v>1</v>
      </c>
      <c r="G22" s="12"/>
      <c r="H22" s="4"/>
      <c r="I22" s="8"/>
    </row>
    <row r="23" spans="1:9">
      <c r="A23" s="2">
        <v>21</v>
      </c>
      <c r="B23" s="4"/>
      <c r="C23" s="5" t="s">
        <v>454</v>
      </c>
      <c r="D23" s="4">
        <v>8826291789</v>
      </c>
      <c r="E23" s="4" t="s">
        <v>252</v>
      </c>
      <c r="F23" s="12"/>
      <c r="G23" s="12">
        <v>0.5</v>
      </c>
      <c r="H23" s="4"/>
      <c r="I23" s="8"/>
    </row>
    <row r="24" spans="1:9">
      <c r="A24" s="2">
        <v>22</v>
      </c>
      <c r="B24" s="4"/>
      <c r="C24" s="5" t="s">
        <v>88</v>
      </c>
      <c r="D24" s="4">
        <v>8447722734</v>
      </c>
      <c r="E24" s="4" t="s">
        <v>308</v>
      </c>
      <c r="F24" s="12">
        <v>2.5</v>
      </c>
      <c r="G24" s="12">
        <v>1.5</v>
      </c>
      <c r="H24" s="4"/>
      <c r="I24" s="8"/>
    </row>
    <row r="25" spans="1:9">
      <c r="A25" s="2">
        <v>23</v>
      </c>
      <c r="B25" s="4" t="s">
        <v>430</v>
      </c>
      <c r="C25" s="5" t="s">
        <v>89</v>
      </c>
      <c r="D25" s="4"/>
      <c r="E25" s="4" t="s">
        <v>216</v>
      </c>
      <c r="F25" s="12">
        <v>0</v>
      </c>
      <c r="G25" s="12"/>
      <c r="H25" s="4"/>
      <c r="I25" s="8"/>
    </row>
    <row r="26" spans="1:9">
      <c r="A26" s="2">
        <v>24</v>
      </c>
      <c r="B26" s="4"/>
      <c r="C26" s="5" t="s">
        <v>90</v>
      </c>
      <c r="D26" s="4"/>
      <c r="E26" s="4" t="s">
        <v>49</v>
      </c>
      <c r="F26" s="12">
        <v>0</v>
      </c>
      <c r="G26" s="12"/>
      <c r="H26" s="4" t="s">
        <v>158</v>
      </c>
      <c r="I26" s="8"/>
    </row>
    <row r="27" spans="1:9">
      <c r="A27" s="2">
        <v>25</v>
      </c>
      <c r="B27" s="4"/>
      <c r="C27" s="5" t="s">
        <v>232</v>
      </c>
      <c r="D27" s="4">
        <v>9811961968</v>
      </c>
      <c r="E27" s="4" t="s">
        <v>55</v>
      </c>
      <c r="F27" s="12">
        <v>0</v>
      </c>
      <c r="G27" s="12"/>
      <c r="H27" s="4"/>
      <c r="I27" s="8"/>
    </row>
    <row r="28" spans="1:9">
      <c r="A28" s="2">
        <v>26</v>
      </c>
      <c r="B28" s="4"/>
      <c r="C28" s="5" t="s">
        <v>282</v>
      </c>
      <c r="D28" s="4"/>
      <c r="E28" s="4" t="s">
        <v>210</v>
      </c>
      <c r="F28" s="12">
        <v>0</v>
      </c>
      <c r="G28" s="12"/>
      <c r="H28" s="4"/>
      <c r="I28" s="8"/>
    </row>
    <row r="29" spans="1:9">
      <c r="A29" s="2">
        <v>27</v>
      </c>
      <c r="B29" s="4"/>
      <c r="C29" s="5" t="s">
        <v>352</v>
      </c>
      <c r="D29" s="4">
        <v>9953727074</v>
      </c>
      <c r="E29" s="4" t="s">
        <v>10</v>
      </c>
      <c r="F29" s="12">
        <v>1</v>
      </c>
      <c r="G29" s="12"/>
      <c r="H29" s="4"/>
      <c r="I29" s="8"/>
    </row>
    <row r="30" spans="1:9">
      <c r="A30" s="2">
        <v>28</v>
      </c>
      <c r="B30" s="4"/>
      <c r="C30" s="5" t="s">
        <v>451</v>
      </c>
      <c r="D30" s="4"/>
      <c r="E30" s="4" t="s">
        <v>216</v>
      </c>
      <c r="F30" s="12">
        <v>0</v>
      </c>
      <c r="G30" s="12"/>
      <c r="H30" s="4" t="s">
        <v>225</v>
      </c>
      <c r="I30" s="8"/>
    </row>
    <row r="31" spans="1:9">
      <c r="A31" s="2">
        <v>29</v>
      </c>
      <c r="B31" s="4" t="s">
        <v>350</v>
      </c>
      <c r="C31" s="5" t="s">
        <v>346</v>
      </c>
      <c r="D31" s="4"/>
      <c r="E31" s="4" t="s">
        <v>11</v>
      </c>
      <c r="F31" s="12">
        <v>1</v>
      </c>
      <c r="G31" s="12"/>
      <c r="H31" s="4"/>
      <c r="I31" s="8"/>
    </row>
    <row r="32" spans="1:9">
      <c r="A32" s="2">
        <v>30</v>
      </c>
      <c r="B32" s="4"/>
      <c r="C32" s="5" t="s">
        <v>440</v>
      </c>
      <c r="D32" s="4">
        <v>8920259211</v>
      </c>
      <c r="E32" s="4" t="s">
        <v>441</v>
      </c>
      <c r="F32" s="12">
        <v>0</v>
      </c>
      <c r="G32" s="12">
        <v>1.5</v>
      </c>
      <c r="H32" s="4" t="s">
        <v>139</v>
      </c>
      <c r="I32" s="8"/>
    </row>
    <row r="33" spans="1:9">
      <c r="A33" s="2">
        <v>31</v>
      </c>
      <c r="B33" s="49"/>
      <c r="C33" s="52" t="s">
        <v>138</v>
      </c>
      <c r="D33" s="49"/>
      <c r="E33" s="4" t="s">
        <v>9</v>
      </c>
      <c r="F33" s="49">
        <v>0</v>
      </c>
      <c r="G33" s="49"/>
      <c r="H33" s="4" t="s">
        <v>158</v>
      </c>
      <c r="I33" s="50"/>
    </row>
    <row r="34" spans="1:9">
      <c r="A34" s="2">
        <v>32</v>
      </c>
      <c r="B34" s="4" t="s">
        <v>249</v>
      </c>
      <c r="C34" s="5" t="s">
        <v>248</v>
      </c>
      <c r="D34" s="4">
        <v>9654848959</v>
      </c>
      <c r="E34" s="4" t="s">
        <v>130</v>
      </c>
      <c r="F34" s="12">
        <v>1</v>
      </c>
      <c r="G34" s="12"/>
      <c r="H34" s="4"/>
      <c r="I34" s="4"/>
    </row>
    <row r="35" spans="1:9">
      <c r="A35" s="2">
        <v>33</v>
      </c>
      <c r="B35" s="6"/>
      <c r="C35" s="7" t="s">
        <v>184</v>
      </c>
      <c r="D35" s="6">
        <v>9818823352</v>
      </c>
      <c r="E35" s="6" t="s">
        <v>11</v>
      </c>
      <c r="F35" s="13">
        <v>1</v>
      </c>
      <c r="G35" s="13"/>
      <c r="H35" s="4"/>
      <c r="I35" s="8"/>
    </row>
    <row r="36" spans="1:9">
      <c r="A36" s="2">
        <v>34</v>
      </c>
      <c r="B36" s="6"/>
      <c r="C36" s="7" t="s">
        <v>268</v>
      </c>
      <c r="D36" s="6"/>
      <c r="E36" s="6" t="s">
        <v>218</v>
      </c>
      <c r="F36" s="13">
        <v>0.5</v>
      </c>
      <c r="G36" s="13"/>
      <c r="H36" s="6"/>
      <c r="I36" s="9"/>
    </row>
    <row r="37" spans="1:9">
      <c r="A37" s="2">
        <v>35</v>
      </c>
      <c r="B37" s="6"/>
      <c r="C37" s="7" t="s">
        <v>281</v>
      </c>
      <c r="D37" s="6">
        <v>9718756611</v>
      </c>
      <c r="E37" s="6" t="s">
        <v>210</v>
      </c>
      <c r="F37" s="13">
        <v>1.5</v>
      </c>
      <c r="G37" s="13"/>
      <c r="H37" s="6"/>
      <c r="I37" s="9"/>
    </row>
    <row r="38" spans="1:9">
      <c r="A38" s="2">
        <v>36</v>
      </c>
      <c r="B38" s="6" t="s">
        <v>293</v>
      </c>
      <c r="C38" s="7" t="s">
        <v>292</v>
      </c>
      <c r="D38" s="6">
        <v>7778997525</v>
      </c>
      <c r="E38" s="6" t="s">
        <v>200</v>
      </c>
      <c r="F38" s="13"/>
      <c r="G38" s="13">
        <v>1.5</v>
      </c>
      <c r="H38" s="6"/>
      <c r="I38" s="9"/>
    </row>
    <row r="39" spans="1:9">
      <c r="A39" s="2">
        <v>37</v>
      </c>
      <c r="B39" s="6"/>
      <c r="C39" s="7" t="s">
        <v>446</v>
      </c>
      <c r="D39" s="6"/>
      <c r="E39" s="6" t="s">
        <v>38</v>
      </c>
      <c r="F39" s="13"/>
      <c r="G39" s="13">
        <v>1</v>
      </c>
      <c r="H39" s="6" t="s">
        <v>225</v>
      </c>
      <c r="I39" s="9"/>
    </row>
    <row r="40" spans="1:9">
      <c r="A40" s="2">
        <v>38</v>
      </c>
      <c r="B40" s="6"/>
      <c r="C40" s="85" t="s">
        <v>395</v>
      </c>
      <c r="D40" s="6">
        <v>7011465702</v>
      </c>
      <c r="E40" s="6" t="s">
        <v>36</v>
      </c>
      <c r="F40" s="13"/>
      <c r="G40" s="13">
        <v>1</v>
      </c>
      <c r="H40" s="6"/>
      <c r="I40" s="9"/>
    </row>
    <row r="41" spans="1:9">
      <c r="A41" s="2">
        <v>39</v>
      </c>
      <c r="B41" s="6"/>
      <c r="C41" s="7" t="s">
        <v>172</v>
      </c>
      <c r="D41" s="6">
        <v>9354003613</v>
      </c>
      <c r="E41" s="6" t="s">
        <v>210</v>
      </c>
      <c r="F41" s="13">
        <v>1.5</v>
      </c>
      <c r="G41" s="13"/>
      <c r="H41" s="6"/>
      <c r="I41" s="9"/>
    </row>
    <row r="42" spans="1:9" ht="24" thickBot="1">
      <c r="A42" s="14"/>
      <c r="B42" s="15"/>
      <c r="C42" s="15"/>
      <c r="D42" s="15"/>
      <c r="E42" s="15" t="s">
        <v>29</v>
      </c>
      <c r="F42" s="16">
        <f>SUM(F3:F41)</f>
        <v>31.5</v>
      </c>
      <c r="G42" s="16">
        <f>SUM(G3:G41)</f>
        <v>8.5</v>
      </c>
      <c r="H42" s="15"/>
      <c r="I42" s="18"/>
    </row>
  </sheetData>
  <mergeCells count="1">
    <mergeCell ref="A1:H1"/>
  </mergeCells>
  <pageMargins left="0.25" right="0.25" top="0.75" bottom="0.75" header="0.3" footer="0.3"/>
  <pageSetup paperSize="9"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topLeftCell="A16" zoomScale="90" zoomScaleNormal="90" workbookViewId="0">
      <selection activeCell="F30" sqref="F30"/>
    </sheetView>
  </sheetViews>
  <sheetFormatPr defaultColWidth="23.85546875" defaultRowHeight="23.25"/>
  <cols>
    <col min="1" max="1" width="6.140625" style="3" bestFit="1" customWidth="1"/>
    <col min="2" max="2" width="30" style="3" bestFit="1" customWidth="1"/>
    <col min="3" max="3" width="39" style="3" bestFit="1" customWidth="1"/>
    <col min="4" max="4" width="19.28515625" style="3" bestFit="1" customWidth="1"/>
    <col min="5" max="5" width="20.42578125" style="3" bestFit="1" customWidth="1"/>
    <col min="6" max="6" width="8.42578125" style="3" bestFit="1" customWidth="1"/>
    <col min="7" max="7" width="5.42578125" style="3" hidden="1" customWidth="1"/>
    <col min="8" max="8" width="6.7109375" style="3" bestFit="1" customWidth="1"/>
    <col min="9" max="9" width="29.28515625" style="3" bestFit="1" customWidth="1"/>
    <col min="10" max="10" width="8.7109375" style="3" bestFit="1" customWidth="1"/>
    <col min="11" max="16384" width="23.85546875" style="3"/>
  </cols>
  <sheetData>
    <row r="1" spans="1:11">
      <c r="A1" s="90" t="s">
        <v>468</v>
      </c>
      <c r="B1" s="91"/>
      <c r="C1" s="91"/>
      <c r="D1" s="91"/>
      <c r="E1" s="91"/>
      <c r="F1" s="91"/>
      <c r="G1" s="91"/>
      <c r="H1" s="91"/>
      <c r="I1" s="91"/>
      <c r="J1" s="38">
        <v>1</v>
      </c>
    </row>
    <row r="2" spans="1:11">
      <c r="A2" s="19" t="s">
        <v>41</v>
      </c>
      <c r="B2" s="20" t="s">
        <v>1</v>
      </c>
      <c r="C2" s="20" t="s">
        <v>30</v>
      </c>
      <c r="D2" s="20" t="s">
        <v>31</v>
      </c>
      <c r="E2" s="20" t="s">
        <v>4</v>
      </c>
      <c r="F2" s="20" t="s">
        <v>5</v>
      </c>
      <c r="G2" s="20" t="s">
        <v>217</v>
      </c>
      <c r="H2" s="20" t="s">
        <v>6</v>
      </c>
      <c r="I2" s="20"/>
      <c r="J2" s="27" t="s">
        <v>8</v>
      </c>
    </row>
    <row r="3" spans="1:11" s="56" customFormat="1">
      <c r="A3" s="60">
        <v>1</v>
      </c>
      <c r="B3" s="66" t="s">
        <v>223</v>
      </c>
      <c r="C3" s="66" t="s">
        <v>222</v>
      </c>
      <c r="D3" s="66">
        <v>9717637423</v>
      </c>
      <c r="E3" s="66" t="s">
        <v>252</v>
      </c>
      <c r="F3" s="66"/>
      <c r="G3" s="66">
        <v>0.5</v>
      </c>
      <c r="H3" s="66">
        <v>0.5</v>
      </c>
      <c r="I3" s="66"/>
      <c r="J3" s="58"/>
    </row>
    <row r="4" spans="1:11" customFormat="1">
      <c r="A4" s="60">
        <v>2</v>
      </c>
      <c r="B4" s="4"/>
      <c r="C4" s="4" t="s">
        <v>66</v>
      </c>
      <c r="D4" s="4">
        <v>9458664442</v>
      </c>
      <c r="E4" s="4" t="s">
        <v>11</v>
      </c>
      <c r="F4" s="4">
        <v>0</v>
      </c>
      <c r="G4" s="4"/>
      <c r="H4" s="4"/>
      <c r="I4" s="4"/>
    </row>
    <row r="5" spans="1:11">
      <c r="A5" s="60">
        <v>3</v>
      </c>
      <c r="B5" s="23" t="s">
        <v>170</v>
      </c>
      <c r="C5" s="23" t="s">
        <v>389</v>
      </c>
      <c r="D5" s="4">
        <v>9015878932</v>
      </c>
      <c r="E5" s="4" t="s">
        <v>11</v>
      </c>
      <c r="F5" s="4">
        <v>1</v>
      </c>
      <c r="G5" s="4"/>
      <c r="H5" s="4"/>
      <c r="I5" s="4" t="s">
        <v>483</v>
      </c>
    </row>
    <row r="6" spans="1:11">
      <c r="A6" s="60">
        <v>4</v>
      </c>
      <c r="B6" s="20"/>
      <c r="C6" s="20" t="s">
        <v>333</v>
      </c>
      <c r="D6" s="20">
        <v>9990949484</v>
      </c>
      <c r="E6" s="20" t="s">
        <v>49</v>
      </c>
      <c r="F6" s="20">
        <v>1</v>
      </c>
      <c r="G6" s="20"/>
      <c r="H6" s="20"/>
      <c r="I6" s="20"/>
      <c r="J6" s="27"/>
    </row>
    <row r="7" spans="1:11">
      <c r="A7" s="60">
        <v>5</v>
      </c>
      <c r="B7" s="20"/>
      <c r="C7" s="4" t="s">
        <v>417</v>
      </c>
      <c r="D7" s="20"/>
      <c r="E7" s="20" t="s">
        <v>10</v>
      </c>
      <c r="F7" s="20">
        <v>0</v>
      </c>
      <c r="G7" s="20"/>
      <c r="H7" s="20"/>
      <c r="I7" s="20" t="s">
        <v>452</v>
      </c>
      <c r="J7" s="27"/>
    </row>
    <row r="8" spans="1:11">
      <c r="A8" s="60">
        <v>6</v>
      </c>
      <c r="B8" s="4" t="s">
        <v>68</v>
      </c>
      <c r="C8" s="4" t="s">
        <v>69</v>
      </c>
      <c r="D8" s="22">
        <v>9811293792</v>
      </c>
      <c r="E8" s="22" t="s">
        <v>191</v>
      </c>
      <c r="F8" s="23">
        <v>1</v>
      </c>
      <c r="G8" s="23"/>
      <c r="H8" s="23">
        <v>1</v>
      </c>
      <c r="I8" s="24"/>
      <c r="J8" s="28"/>
    </row>
    <row r="9" spans="1:11">
      <c r="A9" s="60">
        <v>7</v>
      </c>
      <c r="B9" s="4"/>
      <c r="C9" s="4" t="s">
        <v>306</v>
      </c>
      <c r="D9" s="4">
        <v>9354144082</v>
      </c>
      <c r="E9" s="4" t="s">
        <v>11</v>
      </c>
      <c r="F9" s="4">
        <v>0</v>
      </c>
      <c r="G9" s="4"/>
      <c r="H9" s="4"/>
      <c r="I9" s="4" t="s">
        <v>158</v>
      </c>
      <c r="J9" s="8"/>
    </row>
    <row r="10" spans="1:11">
      <c r="A10" s="60">
        <v>8</v>
      </c>
      <c r="B10" s="4" t="s">
        <v>375</v>
      </c>
      <c r="C10" s="4" t="s">
        <v>376</v>
      </c>
      <c r="D10" s="22">
        <v>9711277112</v>
      </c>
      <c r="E10" s="23" t="s">
        <v>11</v>
      </c>
      <c r="F10" s="23">
        <v>1</v>
      </c>
      <c r="G10" s="23"/>
      <c r="H10" s="24"/>
      <c r="I10" s="24"/>
      <c r="J10" s="28"/>
    </row>
    <row r="11" spans="1:11">
      <c r="A11" s="60">
        <v>9</v>
      </c>
      <c r="B11" s="6" t="s">
        <v>255</v>
      </c>
      <c r="C11" s="6" t="s">
        <v>254</v>
      </c>
      <c r="D11" s="6">
        <v>9654090532</v>
      </c>
      <c r="E11" s="6" t="s">
        <v>55</v>
      </c>
      <c r="F11" s="6">
        <v>2</v>
      </c>
      <c r="G11" s="6"/>
      <c r="H11" s="6"/>
      <c r="I11" s="81"/>
      <c r="J11" s="53"/>
    </row>
    <row r="12" spans="1:11">
      <c r="A12" s="60">
        <v>10</v>
      </c>
      <c r="B12" s="6" t="s">
        <v>208</v>
      </c>
      <c r="C12" s="6" t="s">
        <v>207</v>
      </c>
      <c r="D12" s="6">
        <v>9971816746</v>
      </c>
      <c r="E12" s="6" t="s">
        <v>55</v>
      </c>
      <c r="F12" s="6">
        <v>2</v>
      </c>
      <c r="G12" s="6"/>
      <c r="H12" s="6"/>
      <c r="I12" s="6"/>
      <c r="J12" s="53"/>
    </row>
    <row r="13" spans="1:11">
      <c r="A13" s="60">
        <v>11</v>
      </c>
      <c r="B13" s="6"/>
      <c r="C13" s="26" t="s">
        <v>121</v>
      </c>
      <c r="D13" s="6">
        <v>9828236802</v>
      </c>
      <c r="E13" s="6" t="s">
        <v>11</v>
      </c>
      <c r="F13" s="6">
        <v>0</v>
      </c>
      <c r="G13" s="6"/>
      <c r="H13" s="6"/>
      <c r="I13" s="6" t="s">
        <v>159</v>
      </c>
      <c r="J13" s="9"/>
    </row>
    <row r="14" spans="1:11">
      <c r="A14" s="60">
        <v>12</v>
      </c>
      <c r="B14" s="4" t="s">
        <v>70</v>
      </c>
      <c r="C14" s="4" t="s">
        <v>263</v>
      </c>
      <c r="D14" s="4">
        <v>9827798975</v>
      </c>
      <c r="E14" s="4" t="s">
        <v>10</v>
      </c>
      <c r="F14" s="4">
        <v>1</v>
      </c>
      <c r="G14" s="4"/>
      <c r="H14" s="4"/>
      <c r="I14" s="4"/>
      <c r="J14" s="29"/>
    </row>
    <row r="15" spans="1:11">
      <c r="A15" s="60">
        <v>13</v>
      </c>
      <c r="B15" s="6"/>
      <c r="C15" s="26" t="s">
        <v>80</v>
      </c>
      <c r="D15" s="6">
        <v>9873298515</v>
      </c>
      <c r="E15" s="6" t="s">
        <v>10</v>
      </c>
      <c r="F15" s="6">
        <v>0</v>
      </c>
      <c r="G15" s="6"/>
      <c r="H15" s="6"/>
      <c r="I15" s="6" t="s">
        <v>159</v>
      </c>
      <c r="J15" s="9"/>
    </row>
    <row r="16" spans="1:11">
      <c r="A16" s="60">
        <v>14</v>
      </c>
      <c r="B16" s="4" t="s">
        <v>72</v>
      </c>
      <c r="C16" s="4" t="s">
        <v>73</v>
      </c>
      <c r="D16" s="22">
        <v>8377002907</v>
      </c>
      <c r="E16" s="22" t="s">
        <v>55</v>
      </c>
      <c r="F16" s="22">
        <v>2</v>
      </c>
      <c r="G16" s="22"/>
      <c r="H16" s="22"/>
      <c r="I16" s="22"/>
      <c r="J16" s="29"/>
      <c r="K16" s="30"/>
    </row>
    <row r="17" spans="1:11">
      <c r="A17" s="60">
        <v>15</v>
      </c>
      <c r="B17" s="4" t="s">
        <v>75</v>
      </c>
      <c r="C17" s="4" t="s">
        <v>76</v>
      </c>
      <c r="D17" s="22">
        <v>9643823690</v>
      </c>
      <c r="E17" s="22" t="s">
        <v>11</v>
      </c>
      <c r="F17" s="3">
        <v>2</v>
      </c>
      <c r="H17" s="22"/>
      <c r="I17" s="22"/>
      <c r="J17" s="29"/>
      <c r="K17" s="30"/>
    </row>
    <row r="18" spans="1:11">
      <c r="A18" s="60">
        <v>16</v>
      </c>
      <c r="B18" s="6"/>
      <c r="C18" s="4" t="s">
        <v>275</v>
      </c>
      <c r="D18" s="77">
        <v>9310281113</v>
      </c>
      <c r="E18" s="77">
        <v>2.5</v>
      </c>
      <c r="F18" s="77"/>
      <c r="G18" s="77"/>
      <c r="H18" s="77">
        <v>0</v>
      </c>
      <c r="I18" s="77" t="s">
        <v>443</v>
      </c>
      <c r="J18" s="78"/>
      <c r="K18" s="31"/>
    </row>
    <row r="19" spans="1:11">
      <c r="A19" s="60">
        <v>17</v>
      </c>
      <c r="B19" s="6" t="s">
        <v>418</v>
      </c>
      <c r="C19" s="4" t="s">
        <v>298</v>
      </c>
      <c r="D19" s="77">
        <v>9718324251</v>
      </c>
      <c r="E19" s="77" t="s">
        <v>55</v>
      </c>
      <c r="F19" s="77">
        <v>2</v>
      </c>
      <c r="G19" s="77"/>
      <c r="H19" s="77"/>
      <c r="I19" s="77"/>
      <c r="K19" s="31"/>
    </row>
    <row r="20" spans="1:11">
      <c r="A20" s="60">
        <v>18</v>
      </c>
      <c r="B20" s="6">
        <v>1304</v>
      </c>
      <c r="C20" s="77" t="s">
        <v>386</v>
      </c>
      <c r="D20" s="77">
        <v>8506856525</v>
      </c>
      <c r="E20" s="77" t="s">
        <v>55</v>
      </c>
      <c r="F20" s="77">
        <v>2</v>
      </c>
      <c r="G20" s="77"/>
      <c r="H20" s="77"/>
      <c r="I20" s="77"/>
      <c r="K20" s="31"/>
    </row>
    <row r="21" spans="1:11">
      <c r="A21" s="60">
        <v>19</v>
      </c>
      <c r="B21" s="6" t="s">
        <v>189</v>
      </c>
      <c r="C21" s="26" t="s">
        <v>81</v>
      </c>
      <c r="D21" s="6">
        <v>9899111847</v>
      </c>
      <c r="E21" s="6" t="s">
        <v>11</v>
      </c>
      <c r="F21" s="6">
        <v>1</v>
      </c>
      <c r="G21" s="6"/>
      <c r="H21" s="6"/>
      <c r="I21" s="6"/>
      <c r="J21" s="9"/>
    </row>
    <row r="22" spans="1:11">
      <c r="A22" s="60">
        <v>20</v>
      </c>
      <c r="B22" s="6"/>
      <c r="C22" s="26" t="s">
        <v>82</v>
      </c>
      <c r="D22" s="6">
        <v>9639023866</v>
      </c>
      <c r="E22" s="6" t="s">
        <v>10</v>
      </c>
      <c r="F22" s="6">
        <v>1</v>
      </c>
      <c r="G22" s="6"/>
      <c r="H22" s="6"/>
      <c r="I22" s="6"/>
      <c r="J22" s="9"/>
    </row>
    <row r="23" spans="1:11">
      <c r="A23" s="60">
        <v>21</v>
      </c>
      <c r="B23" s="6"/>
      <c r="C23" s="4" t="s">
        <v>295</v>
      </c>
      <c r="D23" s="6">
        <v>6299195075</v>
      </c>
      <c r="E23" s="6" t="s">
        <v>200</v>
      </c>
      <c r="F23" s="6"/>
      <c r="G23" s="6"/>
      <c r="H23" s="6">
        <v>1.5</v>
      </c>
      <c r="I23" s="6"/>
      <c r="J23" s="9"/>
    </row>
    <row r="24" spans="1:11">
      <c r="A24" s="60">
        <v>22</v>
      </c>
      <c r="B24" s="6"/>
      <c r="C24" s="6" t="s">
        <v>437</v>
      </c>
      <c r="D24" s="6"/>
      <c r="E24" s="6" t="s">
        <v>49</v>
      </c>
      <c r="F24" s="6">
        <v>3</v>
      </c>
      <c r="G24" s="6"/>
      <c r="H24" s="6"/>
      <c r="I24" s="6" t="s">
        <v>225</v>
      </c>
      <c r="J24" s="9"/>
    </row>
    <row r="25" spans="1:11">
      <c r="A25" s="60">
        <v>23</v>
      </c>
      <c r="B25" s="6" t="s">
        <v>408</v>
      </c>
      <c r="C25" s="6" t="s">
        <v>409</v>
      </c>
      <c r="D25" s="6">
        <v>9818921234</v>
      </c>
      <c r="E25" s="6" t="s">
        <v>49</v>
      </c>
      <c r="F25" s="6">
        <v>0</v>
      </c>
      <c r="G25" s="6"/>
      <c r="H25" s="6"/>
      <c r="I25" s="6" t="s">
        <v>158</v>
      </c>
      <c r="J25" s="9"/>
    </row>
    <row r="26" spans="1:11">
      <c r="A26" s="60">
        <v>24</v>
      </c>
      <c r="B26" s="6"/>
      <c r="C26" s="26" t="s">
        <v>79</v>
      </c>
      <c r="D26" s="6">
        <v>9599824835</v>
      </c>
      <c r="E26" s="6" t="s">
        <v>49</v>
      </c>
      <c r="F26" s="6">
        <v>0</v>
      </c>
      <c r="G26" s="6"/>
      <c r="H26" s="6"/>
      <c r="I26" s="25"/>
      <c r="J26" s="9"/>
    </row>
    <row r="27" spans="1:11">
      <c r="A27" s="60">
        <v>25</v>
      </c>
      <c r="B27" s="6"/>
      <c r="C27" s="26" t="s">
        <v>188</v>
      </c>
      <c r="D27" s="6"/>
      <c r="E27" s="23" t="s">
        <v>34</v>
      </c>
      <c r="F27" s="6">
        <v>3</v>
      </c>
      <c r="G27" s="6"/>
      <c r="H27" s="6"/>
      <c r="I27" s="54"/>
      <c r="J27" s="9"/>
    </row>
    <row r="28" spans="1:11">
      <c r="A28" s="60">
        <v>26</v>
      </c>
      <c r="B28" s="4" t="s">
        <v>181</v>
      </c>
      <c r="C28" s="4" t="s">
        <v>125</v>
      </c>
      <c r="D28" s="4">
        <v>9410009074</v>
      </c>
      <c r="E28" s="23" t="s">
        <v>55</v>
      </c>
      <c r="F28" s="4">
        <v>2</v>
      </c>
      <c r="G28" s="4"/>
      <c r="H28" s="4"/>
      <c r="I28" s="4"/>
      <c r="J28" s="8"/>
    </row>
    <row r="29" spans="1:11">
      <c r="A29" s="60">
        <v>27</v>
      </c>
      <c r="B29" s="23"/>
      <c r="C29" s="23" t="s">
        <v>78</v>
      </c>
      <c r="D29" s="23">
        <v>9873957380</v>
      </c>
      <c r="E29" s="23" t="s">
        <v>200</v>
      </c>
      <c r="F29" s="23"/>
      <c r="G29" s="23"/>
      <c r="H29" s="23">
        <v>0</v>
      </c>
      <c r="I29" s="23" t="s">
        <v>479</v>
      </c>
      <c r="J29" s="8"/>
    </row>
    <row r="30" spans="1:11">
      <c r="A30" s="60">
        <v>28</v>
      </c>
      <c r="B30" s="23"/>
      <c r="C30" s="23" t="s">
        <v>320</v>
      </c>
      <c r="D30" s="23">
        <v>9958402908</v>
      </c>
      <c r="E30" s="23" t="s">
        <v>9</v>
      </c>
      <c r="F30" s="23">
        <v>0</v>
      </c>
      <c r="G30" s="23"/>
      <c r="H30" s="23"/>
      <c r="I30" s="23"/>
      <c r="J30" s="8"/>
    </row>
    <row r="31" spans="1:11">
      <c r="A31" s="60">
        <v>29</v>
      </c>
      <c r="B31" s="23"/>
      <c r="C31" s="23" t="s">
        <v>277</v>
      </c>
      <c r="D31" s="23">
        <v>9267950460</v>
      </c>
      <c r="E31" s="23" t="s">
        <v>265</v>
      </c>
      <c r="F31" s="23">
        <v>0</v>
      </c>
      <c r="G31" s="23"/>
      <c r="H31" s="23">
        <v>0</v>
      </c>
      <c r="I31" s="23"/>
      <c r="J31" s="8"/>
    </row>
    <row r="32" spans="1:11">
      <c r="A32" s="60">
        <v>30</v>
      </c>
      <c r="B32" s="4"/>
      <c r="C32" s="4" t="s">
        <v>71</v>
      </c>
      <c r="D32" s="4">
        <v>9953749084</v>
      </c>
      <c r="E32" s="23" t="s">
        <v>55</v>
      </c>
      <c r="F32" s="4">
        <v>0</v>
      </c>
      <c r="G32" s="4"/>
      <c r="H32" s="4"/>
      <c r="I32" s="4"/>
      <c r="J32" s="29"/>
    </row>
    <row r="33" spans="1:10">
      <c r="A33" s="60">
        <v>31</v>
      </c>
      <c r="B33" s="6"/>
      <c r="C33" s="4" t="s">
        <v>366</v>
      </c>
      <c r="D33" s="6">
        <v>9311276045</v>
      </c>
      <c r="E33" s="23" t="s">
        <v>11</v>
      </c>
      <c r="F33" s="6">
        <v>1</v>
      </c>
      <c r="G33" s="6"/>
      <c r="H33" s="6"/>
      <c r="I33" s="6"/>
      <c r="J33" s="53"/>
    </row>
    <row r="34" spans="1:10">
      <c r="A34" s="60">
        <v>32</v>
      </c>
      <c r="B34" s="6" t="s">
        <v>413</v>
      </c>
      <c r="C34" s="6" t="s">
        <v>414</v>
      </c>
      <c r="D34" s="6"/>
      <c r="E34" s="23" t="s">
        <v>419</v>
      </c>
      <c r="F34" s="6">
        <v>1</v>
      </c>
      <c r="G34" s="6"/>
      <c r="H34" s="6"/>
      <c r="I34" s="6"/>
      <c r="J34" s="53"/>
    </row>
    <row r="35" spans="1:10" s="48" customFormat="1">
      <c r="A35" s="60">
        <v>33</v>
      </c>
      <c r="B35" s="47" t="s">
        <v>127</v>
      </c>
      <c r="C35" s="47" t="s">
        <v>126</v>
      </c>
      <c r="D35" s="47">
        <v>9810650453</v>
      </c>
      <c r="E35" s="23" t="s">
        <v>11</v>
      </c>
      <c r="F35" s="47">
        <v>1</v>
      </c>
      <c r="G35" s="47"/>
      <c r="H35" s="6"/>
      <c r="I35" s="6"/>
      <c r="J35" s="9"/>
    </row>
    <row r="36" spans="1:10" ht="24" thickBot="1">
      <c r="A36" s="21"/>
      <c r="B36" s="15"/>
      <c r="C36" s="15"/>
      <c r="D36" s="15"/>
      <c r="E36" s="15" t="s">
        <v>29</v>
      </c>
      <c r="F36" s="15">
        <f>SUM(F2:F35)</f>
        <v>30</v>
      </c>
      <c r="G36" s="15">
        <f>SUM(G8:G35)</f>
        <v>0</v>
      </c>
      <c r="H36" s="15">
        <f>SUM(H2:H35)</f>
        <v>3</v>
      </c>
      <c r="I36" s="6"/>
      <c r="J36" s="18"/>
    </row>
  </sheetData>
  <mergeCells count="1">
    <mergeCell ref="A1:I1"/>
  </mergeCells>
  <pageMargins left="0.25" right="0.25" top="0.75" bottom="0.75" header="0.3" footer="0.3"/>
  <pageSetup paperSize="9" scale="5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topLeftCell="A16" zoomScale="89" zoomScaleNormal="89" workbookViewId="0">
      <selection activeCell="H26" sqref="H26"/>
    </sheetView>
  </sheetViews>
  <sheetFormatPr defaultColWidth="9.140625" defaultRowHeight="23.25"/>
  <cols>
    <col min="1" max="1" width="6.28515625" style="3" customWidth="1"/>
    <col min="2" max="2" width="27.5703125" style="3" bestFit="1" customWidth="1"/>
    <col min="3" max="3" width="49.28515625" style="3" bestFit="1" customWidth="1"/>
    <col min="4" max="4" width="19.28515625" style="3" bestFit="1" customWidth="1"/>
    <col min="5" max="5" width="20.42578125" style="3" customWidth="1"/>
    <col min="6" max="6" width="8.42578125" style="3" bestFit="1" customWidth="1"/>
    <col min="7" max="7" width="6.7109375" style="3" bestFit="1" customWidth="1"/>
    <col min="8" max="8" width="40.140625" style="3" bestFit="1" customWidth="1"/>
    <col min="9" max="9" width="8.7109375" style="3" bestFit="1" customWidth="1"/>
    <col min="10" max="16384" width="9.140625" style="3"/>
  </cols>
  <sheetData>
    <row r="1" spans="1:9">
      <c r="A1" s="92" t="s">
        <v>469</v>
      </c>
      <c r="B1" s="93"/>
      <c r="C1" s="93"/>
      <c r="D1" s="93"/>
      <c r="E1" s="93"/>
      <c r="F1" s="93"/>
      <c r="G1" s="93"/>
      <c r="H1" s="93"/>
      <c r="I1" s="38">
        <v>1</v>
      </c>
    </row>
    <row r="2" spans="1:9">
      <c r="A2" s="69" t="s">
        <v>41</v>
      </c>
      <c r="B2" s="70" t="s">
        <v>1</v>
      </c>
      <c r="C2" s="70" t="s">
        <v>30</v>
      </c>
      <c r="D2" s="70" t="s">
        <v>31</v>
      </c>
      <c r="E2" s="70" t="s">
        <v>4</v>
      </c>
      <c r="F2" s="70" t="s">
        <v>5</v>
      </c>
      <c r="G2" s="70" t="s">
        <v>6</v>
      </c>
      <c r="H2" s="70" t="s">
        <v>7</v>
      </c>
      <c r="I2" s="70" t="s">
        <v>8</v>
      </c>
    </row>
    <row r="3" spans="1:9" s="1" customFormat="1">
      <c r="A3" s="34">
        <v>1</v>
      </c>
      <c r="B3" s="2"/>
      <c r="C3" s="2" t="s">
        <v>185</v>
      </c>
      <c r="D3" s="2">
        <v>9958969641</v>
      </c>
      <c r="E3" s="2" t="s">
        <v>210</v>
      </c>
      <c r="F3" s="2">
        <v>0</v>
      </c>
      <c r="G3" s="2"/>
      <c r="H3" s="2"/>
      <c r="I3" s="2"/>
    </row>
    <row r="4" spans="1:9" s="33" customFormat="1">
      <c r="A4" s="34">
        <v>2</v>
      </c>
      <c r="B4" s="34"/>
      <c r="C4" s="34" t="s">
        <v>364</v>
      </c>
      <c r="D4" s="34">
        <v>9811599776</v>
      </c>
      <c r="E4" s="34" t="s">
        <v>74</v>
      </c>
      <c r="F4" s="34"/>
      <c r="G4" s="34">
        <v>0</v>
      </c>
      <c r="H4" s="34" t="s">
        <v>462</v>
      </c>
      <c r="I4" s="34"/>
    </row>
    <row r="5" spans="1:9" s="33" customFormat="1">
      <c r="A5" s="34">
        <v>3</v>
      </c>
      <c r="B5" s="34"/>
      <c r="C5" s="34" t="s">
        <v>367</v>
      </c>
      <c r="D5" s="34">
        <v>9868806906</v>
      </c>
      <c r="E5" s="34" t="s">
        <v>11</v>
      </c>
      <c r="F5" s="34">
        <v>1</v>
      </c>
      <c r="G5" s="34"/>
      <c r="H5" s="34"/>
      <c r="I5" s="34"/>
    </row>
    <row r="6" spans="1:9">
      <c r="A6" s="34">
        <v>4</v>
      </c>
      <c r="B6" s="49"/>
      <c r="C6" s="51" t="s">
        <v>91</v>
      </c>
      <c r="D6" s="49">
        <v>9560683231</v>
      </c>
      <c r="E6" s="4" t="s">
        <v>38</v>
      </c>
      <c r="F6" s="49">
        <v>1</v>
      </c>
      <c r="G6" s="49"/>
      <c r="H6" s="4" t="s">
        <v>458</v>
      </c>
      <c r="I6" s="49"/>
    </row>
    <row r="7" spans="1:9">
      <c r="A7" s="34">
        <v>5</v>
      </c>
      <c r="B7" s="49" t="s">
        <v>92</v>
      </c>
      <c r="C7" s="51" t="s">
        <v>93</v>
      </c>
      <c r="D7" s="49">
        <v>9873556852</v>
      </c>
      <c r="E7" s="49" t="s">
        <v>55</v>
      </c>
      <c r="F7" s="49">
        <v>2</v>
      </c>
      <c r="G7" s="49"/>
      <c r="H7" s="4"/>
      <c r="I7" s="49"/>
    </row>
    <row r="8" spans="1:9">
      <c r="A8" s="34">
        <v>6</v>
      </c>
      <c r="B8" s="49"/>
      <c r="C8" s="51" t="s">
        <v>94</v>
      </c>
      <c r="D8" s="49">
        <v>9971605526</v>
      </c>
      <c r="E8" s="4" t="s">
        <v>38</v>
      </c>
      <c r="F8" s="49"/>
      <c r="G8" s="49">
        <v>1</v>
      </c>
      <c r="H8" s="4"/>
      <c r="I8" s="49"/>
    </row>
    <row r="9" spans="1:9">
      <c r="A9" s="34">
        <v>7</v>
      </c>
      <c r="B9" s="49" t="s">
        <v>146</v>
      </c>
      <c r="C9" s="51" t="s">
        <v>147</v>
      </c>
      <c r="D9" s="49">
        <v>7838777143</v>
      </c>
      <c r="E9" s="49" t="s">
        <v>55</v>
      </c>
      <c r="F9" s="49">
        <v>2</v>
      </c>
      <c r="G9" s="49">
        <v>1</v>
      </c>
      <c r="H9" s="4" t="s">
        <v>478</v>
      </c>
      <c r="I9" s="49"/>
    </row>
    <row r="10" spans="1:9">
      <c r="A10" s="34">
        <v>8</v>
      </c>
      <c r="B10" s="49"/>
      <c r="C10" s="51" t="s">
        <v>202</v>
      </c>
      <c r="D10" s="49">
        <v>8954401403</v>
      </c>
      <c r="E10" s="4" t="s">
        <v>38</v>
      </c>
      <c r="F10" s="49"/>
      <c r="G10" s="49">
        <v>1</v>
      </c>
      <c r="H10" s="4"/>
      <c r="I10" s="49"/>
    </row>
    <row r="11" spans="1:9">
      <c r="A11" s="34">
        <v>9</v>
      </c>
      <c r="B11" s="49" t="s">
        <v>157</v>
      </c>
      <c r="C11" s="51" t="s">
        <v>156</v>
      </c>
      <c r="D11" s="49">
        <v>8076511480</v>
      </c>
      <c r="E11" s="4" t="s">
        <v>49</v>
      </c>
      <c r="F11" s="49">
        <v>3</v>
      </c>
      <c r="G11" s="49"/>
      <c r="H11" s="4"/>
      <c r="I11" s="49"/>
    </row>
    <row r="12" spans="1:9">
      <c r="A12" s="34">
        <v>10</v>
      </c>
      <c r="B12" s="49" t="s">
        <v>106</v>
      </c>
      <c r="C12" s="52" t="s">
        <v>107</v>
      </c>
      <c r="D12" s="49">
        <v>9811738984</v>
      </c>
      <c r="E12" s="4" t="s">
        <v>187</v>
      </c>
      <c r="F12" s="4">
        <v>2</v>
      </c>
      <c r="G12" s="49"/>
      <c r="H12" s="4"/>
      <c r="I12" s="49"/>
    </row>
    <row r="13" spans="1:9">
      <c r="A13" s="34">
        <v>11</v>
      </c>
      <c r="B13" s="4" t="s">
        <v>474</v>
      </c>
      <c r="C13" s="52" t="s">
        <v>432</v>
      </c>
      <c r="D13" s="49">
        <v>9930704030</v>
      </c>
      <c r="E13" s="4" t="s">
        <v>38</v>
      </c>
      <c r="F13" s="4"/>
      <c r="G13" s="49">
        <v>1</v>
      </c>
      <c r="H13" s="4" t="s">
        <v>182</v>
      </c>
      <c r="I13" s="49"/>
    </row>
    <row r="14" spans="1:9">
      <c r="A14" s="34">
        <v>12</v>
      </c>
      <c r="B14" s="49"/>
      <c r="C14" s="51" t="s">
        <v>305</v>
      </c>
      <c r="D14" s="49">
        <v>9630807134</v>
      </c>
      <c r="E14" s="4" t="s">
        <v>11</v>
      </c>
      <c r="F14" s="49">
        <v>0</v>
      </c>
      <c r="G14" s="49"/>
      <c r="H14" s="4" t="s">
        <v>158</v>
      </c>
      <c r="I14" s="49"/>
    </row>
    <row r="15" spans="1:9">
      <c r="A15" s="34">
        <v>13</v>
      </c>
      <c r="B15" s="49"/>
      <c r="C15" s="51" t="s">
        <v>96</v>
      </c>
      <c r="D15" s="49">
        <v>7065858057</v>
      </c>
      <c r="E15" s="4" t="s">
        <v>200</v>
      </c>
      <c r="F15" s="49">
        <v>1.5</v>
      </c>
      <c r="G15" s="49"/>
      <c r="H15" s="4"/>
      <c r="I15" s="49"/>
    </row>
    <row r="16" spans="1:9">
      <c r="A16" s="34">
        <v>14</v>
      </c>
      <c r="B16" s="49"/>
      <c r="C16" s="51" t="s">
        <v>209</v>
      </c>
      <c r="D16" s="49">
        <v>9560842982</v>
      </c>
      <c r="E16" s="4" t="s">
        <v>34</v>
      </c>
      <c r="F16" s="49">
        <v>0</v>
      </c>
      <c r="G16" s="49"/>
      <c r="H16" s="4"/>
      <c r="I16" s="49"/>
    </row>
    <row r="17" spans="1:9">
      <c r="A17" s="34">
        <v>15</v>
      </c>
      <c r="B17" s="49"/>
      <c r="C17" s="51" t="s">
        <v>236</v>
      </c>
      <c r="D17" s="49">
        <v>7987296415</v>
      </c>
      <c r="E17" s="4" t="s">
        <v>11</v>
      </c>
      <c r="F17" s="49">
        <v>1</v>
      </c>
      <c r="G17" s="49"/>
      <c r="H17" s="4" t="s">
        <v>485</v>
      </c>
      <c r="I17" s="49"/>
    </row>
    <row r="18" spans="1:9">
      <c r="A18" s="34">
        <v>16</v>
      </c>
      <c r="B18" s="4" t="s">
        <v>373</v>
      </c>
      <c r="C18" s="51" t="s">
        <v>237</v>
      </c>
      <c r="D18" s="49">
        <v>9718687453</v>
      </c>
      <c r="E18" s="4" t="s">
        <v>10</v>
      </c>
      <c r="F18" s="49">
        <v>1</v>
      </c>
      <c r="G18" s="49"/>
      <c r="H18" s="4"/>
      <c r="I18" s="49"/>
    </row>
    <row r="19" spans="1:9">
      <c r="A19" s="34">
        <v>17</v>
      </c>
      <c r="B19" s="49"/>
      <c r="C19" s="51" t="s">
        <v>219</v>
      </c>
      <c r="D19" s="49">
        <v>9910625683</v>
      </c>
      <c r="E19" s="4" t="s">
        <v>11</v>
      </c>
      <c r="F19" s="4">
        <v>1</v>
      </c>
      <c r="G19" s="49"/>
      <c r="H19" s="4"/>
      <c r="I19" s="49"/>
    </row>
    <row r="20" spans="1:9">
      <c r="A20" s="34">
        <v>18</v>
      </c>
      <c r="B20" s="49"/>
      <c r="C20" s="51" t="s">
        <v>229</v>
      </c>
      <c r="D20" s="49">
        <v>6307067498</v>
      </c>
      <c r="E20" s="4" t="s">
        <v>11</v>
      </c>
      <c r="F20" s="49">
        <v>1</v>
      </c>
      <c r="G20" s="49"/>
      <c r="H20" s="4"/>
      <c r="I20" s="49"/>
    </row>
    <row r="21" spans="1:9">
      <c r="A21" s="34">
        <v>19</v>
      </c>
      <c r="B21" s="4" t="s">
        <v>257</v>
      </c>
      <c r="C21" s="51" t="s">
        <v>256</v>
      </c>
      <c r="D21" s="49">
        <v>9999228951</v>
      </c>
      <c r="E21" s="4" t="s">
        <v>9</v>
      </c>
      <c r="F21" s="49">
        <v>3</v>
      </c>
      <c r="G21" s="49"/>
      <c r="H21" s="4"/>
      <c r="I21" s="4"/>
    </row>
    <row r="22" spans="1:9">
      <c r="A22" s="34">
        <v>20</v>
      </c>
      <c r="B22" s="4"/>
      <c r="C22" s="51" t="s">
        <v>388</v>
      </c>
      <c r="D22" s="49">
        <v>9891086355</v>
      </c>
      <c r="E22" s="4" t="s">
        <v>55</v>
      </c>
      <c r="F22" s="49">
        <v>2</v>
      </c>
      <c r="G22" s="49"/>
      <c r="H22" s="4"/>
      <c r="I22" s="4"/>
    </row>
    <row r="23" spans="1:9">
      <c r="A23" s="34">
        <v>21</v>
      </c>
      <c r="B23" s="4"/>
      <c r="C23" s="51" t="s">
        <v>438</v>
      </c>
      <c r="D23" s="49">
        <v>9910430259</v>
      </c>
      <c r="E23" s="4" t="s">
        <v>12</v>
      </c>
      <c r="F23" s="49">
        <v>0</v>
      </c>
      <c r="G23" s="49"/>
      <c r="H23" s="4" t="s">
        <v>158</v>
      </c>
      <c r="I23" s="4"/>
    </row>
    <row r="24" spans="1:9">
      <c r="A24" s="34">
        <v>22</v>
      </c>
      <c r="B24" s="4" t="s">
        <v>259</v>
      </c>
      <c r="C24" s="51" t="s">
        <v>258</v>
      </c>
      <c r="D24" s="49">
        <v>9354744624</v>
      </c>
      <c r="E24" s="49" t="s">
        <v>9</v>
      </c>
      <c r="F24" s="49">
        <v>2</v>
      </c>
      <c r="G24" s="49"/>
      <c r="H24" s="4"/>
      <c r="I24" s="49"/>
    </row>
    <row r="25" spans="1:9">
      <c r="A25" s="34">
        <v>23</v>
      </c>
      <c r="B25" s="49"/>
      <c r="C25" s="51" t="s">
        <v>95</v>
      </c>
      <c r="D25" s="49">
        <v>7983466763</v>
      </c>
      <c r="E25" s="4" t="s">
        <v>11</v>
      </c>
      <c r="F25" s="49">
        <v>0</v>
      </c>
      <c r="G25" s="49"/>
      <c r="H25" s="4"/>
      <c r="I25" s="49"/>
    </row>
    <row r="26" spans="1:9">
      <c r="A26" s="34">
        <v>24</v>
      </c>
      <c r="B26" s="49"/>
      <c r="C26" s="51" t="s">
        <v>97</v>
      </c>
      <c r="D26" s="49">
        <v>9811147367</v>
      </c>
      <c r="E26" s="4" t="s">
        <v>238</v>
      </c>
      <c r="F26" s="49">
        <v>1</v>
      </c>
      <c r="G26" s="49"/>
      <c r="H26" s="4"/>
      <c r="I26" s="71"/>
    </row>
    <row r="27" spans="1:9">
      <c r="A27" s="34">
        <v>25</v>
      </c>
      <c r="B27" s="49"/>
      <c r="C27" s="51" t="s">
        <v>199</v>
      </c>
      <c r="D27" s="49">
        <v>8800399384</v>
      </c>
      <c r="E27" s="4" t="s">
        <v>10</v>
      </c>
      <c r="F27" s="49">
        <v>0</v>
      </c>
      <c r="G27" s="4"/>
      <c r="H27" s="4"/>
      <c r="I27" s="71"/>
    </row>
    <row r="28" spans="1:9">
      <c r="A28" s="34">
        <v>26</v>
      </c>
      <c r="B28" s="49"/>
      <c r="C28" s="51" t="s">
        <v>402</v>
      </c>
      <c r="D28" s="49">
        <v>8010514822</v>
      </c>
      <c r="E28" s="4" t="s">
        <v>77</v>
      </c>
      <c r="F28" s="49"/>
      <c r="G28" s="4">
        <v>0</v>
      </c>
      <c r="H28" s="4" t="s">
        <v>158</v>
      </c>
      <c r="I28" s="71"/>
    </row>
    <row r="29" spans="1:9">
      <c r="A29" s="34">
        <v>27</v>
      </c>
      <c r="B29" s="49"/>
      <c r="C29" s="51" t="s">
        <v>260</v>
      </c>
      <c r="D29" s="49">
        <v>9968605431</v>
      </c>
      <c r="E29" s="4" t="s">
        <v>10</v>
      </c>
      <c r="F29" s="49">
        <v>0</v>
      </c>
      <c r="G29" s="49"/>
      <c r="H29" s="4" t="s">
        <v>158</v>
      </c>
      <c r="I29" s="49"/>
    </row>
    <row r="30" spans="1:9">
      <c r="A30" s="34">
        <v>28</v>
      </c>
      <c r="B30" s="49"/>
      <c r="C30" s="51" t="s">
        <v>261</v>
      </c>
      <c r="D30" s="49">
        <v>7976259706</v>
      </c>
      <c r="E30" s="4" t="s">
        <v>38</v>
      </c>
      <c r="F30" s="49"/>
      <c r="G30" s="49">
        <v>0</v>
      </c>
      <c r="H30" s="4"/>
      <c r="I30" s="49"/>
    </row>
    <row r="31" spans="1:9">
      <c r="A31" s="34">
        <v>29</v>
      </c>
      <c r="B31" s="49"/>
      <c r="C31" s="51" t="s">
        <v>421</v>
      </c>
      <c r="D31" s="49"/>
      <c r="E31" s="4" t="s">
        <v>36</v>
      </c>
      <c r="F31" s="49"/>
      <c r="G31" s="4">
        <v>1</v>
      </c>
      <c r="I31" s="4"/>
    </row>
    <row r="32" spans="1:9" s="33" customFormat="1">
      <c r="A32" s="34">
        <v>30</v>
      </c>
      <c r="B32" s="34"/>
      <c r="C32" s="72" t="s">
        <v>124</v>
      </c>
      <c r="D32" s="34">
        <v>9350885628</v>
      </c>
      <c r="E32" s="34" t="s">
        <v>55</v>
      </c>
      <c r="F32" s="34">
        <v>2</v>
      </c>
      <c r="G32" s="34"/>
      <c r="H32" s="34"/>
      <c r="I32" s="34"/>
    </row>
    <row r="33" spans="1:9" ht="24" customHeight="1">
      <c r="A33" s="73"/>
      <c r="B33" s="73"/>
      <c r="C33" s="73"/>
      <c r="D33" s="73"/>
      <c r="E33" s="73" t="s">
        <v>29</v>
      </c>
      <c r="F33" s="73">
        <f>SUM(F3:F32)</f>
        <v>26.5</v>
      </c>
      <c r="G33" s="73">
        <f>SUM(G3:G32)</f>
        <v>5</v>
      </c>
      <c r="H33" s="73"/>
      <c r="I33" s="73"/>
    </row>
  </sheetData>
  <mergeCells count="1">
    <mergeCell ref="A1:H1"/>
  </mergeCells>
  <pageMargins left="0.25" right="0.25" top="0.75" bottom="0.75" header="0.3" footer="0.3"/>
  <pageSetup scale="5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zoomScale="90" zoomScaleNormal="90" zoomScaleSheetLayoutView="50" workbookViewId="0">
      <selection activeCell="H9" sqref="H9"/>
    </sheetView>
  </sheetViews>
  <sheetFormatPr defaultColWidth="9.140625" defaultRowHeight="15"/>
  <cols>
    <col min="1" max="1" width="6.5703125" style="1" customWidth="1"/>
    <col min="2" max="2" width="29.7109375" style="1" bestFit="1" customWidth="1"/>
    <col min="3" max="3" width="22.42578125" style="1" bestFit="1" customWidth="1"/>
    <col min="4" max="4" width="19" style="1" bestFit="1" customWidth="1"/>
    <col min="5" max="5" width="20.7109375" style="1" bestFit="1" customWidth="1"/>
    <col min="6" max="7" width="6.7109375" style="1" bestFit="1" customWidth="1"/>
    <col min="8" max="8" width="34.140625" style="1" customWidth="1"/>
    <col min="9" max="9" width="9" style="1" bestFit="1" customWidth="1"/>
    <col min="10" max="16384" width="9.140625" style="1"/>
  </cols>
  <sheetData>
    <row r="1" spans="1:9" ht="23.25">
      <c r="A1" s="94" t="s">
        <v>470</v>
      </c>
      <c r="B1" s="94"/>
      <c r="C1" s="94"/>
      <c r="D1" s="94"/>
      <c r="E1" s="94"/>
      <c r="F1" s="94"/>
      <c r="G1" s="94"/>
      <c r="H1" s="94"/>
      <c r="I1" s="38">
        <v>1</v>
      </c>
    </row>
    <row r="2" spans="1:9" ht="23.25">
      <c r="A2" s="75" t="s">
        <v>41</v>
      </c>
      <c r="B2" s="75" t="s">
        <v>1</v>
      </c>
      <c r="C2" s="75" t="s">
        <v>30</v>
      </c>
      <c r="D2" s="75" t="s">
        <v>31</v>
      </c>
      <c r="E2" s="75" t="s">
        <v>4</v>
      </c>
      <c r="F2" s="75" t="s">
        <v>5</v>
      </c>
      <c r="G2" s="75" t="s">
        <v>6</v>
      </c>
      <c r="H2" s="75" t="s">
        <v>7</v>
      </c>
      <c r="I2" s="75" t="s">
        <v>8</v>
      </c>
    </row>
    <row r="3" spans="1:9" ht="23.25">
      <c r="A3" s="2">
        <v>1</v>
      </c>
      <c r="B3" s="2" t="s">
        <v>98</v>
      </c>
      <c r="C3" s="2"/>
      <c r="D3" s="2"/>
      <c r="E3" s="2"/>
      <c r="F3" s="2"/>
      <c r="G3" s="2">
        <v>2</v>
      </c>
      <c r="H3" s="2"/>
      <c r="I3" s="2"/>
    </row>
    <row r="4" spans="1:9" ht="23.25">
      <c r="A4" s="2">
        <v>2</v>
      </c>
      <c r="B4" s="2" t="s">
        <v>99</v>
      </c>
      <c r="C4" s="2"/>
      <c r="D4" s="2"/>
      <c r="E4" s="2" t="s">
        <v>10</v>
      </c>
      <c r="F4" s="2">
        <v>1</v>
      </c>
      <c r="G4" s="2"/>
      <c r="H4" s="2"/>
      <c r="I4" s="2"/>
    </row>
    <row r="5" spans="1:9" ht="23.25">
      <c r="A5" s="2">
        <v>3</v>
      </c>
      <c r="B5" s="2" t="s">
        <v>221</v>
      </c>
      <c r="C5" s="2"/>
      <c r="D5" s="2"/>
      <c r="E5" s="2"/>
      <c r="F5" s="2">
        <v>0</v>
      </c>
      <c r="G5" s="2"/>
      <c r="H5" s="2" t="s">
        <v>159</v>
      </c>
      <c r="I5" s="2"/>
    </row>
    <row r="6" spans="1:9" ht="23.25">
      <c r="A6" s="2">
        <v>4</v>
      </c>
      <c r="B6" s="2" t="s">
        <v>100</v>
      </c>
      <c r="C6" s="2"/>
      <c r="D6" s="2"/>
      <c r="E6" s="2"/>
      <c r="F6" s="2"/>
      <c r="G6" s="2">
        <v>1.5</v>
      </c>
      <c r="H6" s="2"/>
      <c r="I6" s="2"/>
    </row>
    <row r="7" spans="1:9" ht="23.25">
      <c r="A7" s="2">
        <v>5</v>
      </c>
      <c r="B7" s="2" t="s">
        <v>101</v>
      </c>
      <c r="C7" s="2"/>
      <c r="D7" s="2"/>
      <c r="E7" s="2" t="s">
        <v>12</v>
      </c>
      <c r="F7" s="2">
        <v>1</v>
      </c>
      <c r="G7" s="2"/>
      <c r="H7" s="2"/>
      <c r="I7" s="2"/>
    </row>
    <row r="8" spans="1:9" s="33" customFormat="1" ht="23.25">
      <c r="A8" s="2">
        <v>6</v>
      </c>
      <c r="B8" s="34"/>
      <c r="C8" s="34" t="s">
        <v>195</v>
      </c>
      <c r="D8" s="34">
        <v>9818114194</v>
      </c>
      <c r="E8" s="34" t="s">
        <v>210</v>
      </c>
      <c r="F8" s="34">
        <v>1.5</v>
      </c>
      <c r="G8" s="34"/>
      <c r="H8" s="34"/>
      <c r="I8" s="34"/>
    </row>
    <row r="9" spans="1:9" ht="23.25">
      <c r="A9" s="2">
        <v>7</v>
      </c>
      <c r="B9" s="2" t="s">
        <v>102</v>
      </c>
      <c r="C9" s="2" t="s">
        <v>103</v>
      </c>
      <c r="D9" s="2"/>
      <c r="E9" s="2" t="s">
        <v>133</v>
      </c>
      <c r="F9" s="34">
        <v>3</v>
      </c>
      <c r="G9" s="2"/>
      <c r="H9" s="2"/>
      <c r="I9" s="2"/>
    </row>
    <row r="10" spans="1:9" ht="23.25">
      <c r="A10" s="2">
        <v>8</v>
      </c>
      <c r="B10" s="2"/>
      <c r="C10" s="2" t="s">
        <v>122</v>
      </c>
      <c r="D10" s="2"/>
      <c r="E10" s="2">
        <v>1.5</v>
      </c>
      <c r="F10" s="2">
        <v>1.5</v>
      </c>
      <c r="G10" s="2"/>
      <c r="H10" s="2" t="s">
        <v>139</v>
      </c>
      <c r="I10" s="2"/>
    </row>
    <row r="11" spans="1:9" ht="23.25">
      <c r="A11" s="2">
        <v>9</v>
      </c>
      <c r="B11" s="2"/>
      <c r="C11" s="2" t="s">
        <v>134</v>
      </c>
      <c r="D11" s="2"/>
      <c r="E11" s="2">
        <v>1.5</v>
      </c>
      <c r="F11" s="2">
        <v>1.5</v>
      </c>
      <c r="G11" s="2"/>
      <c r="H11" s="74"/>
      <c r="I11" s="2"/>
    </row>
    <row r="12" spans="1:9" ht="23.25">
      <c r="A12" s="2">
        <v>10</v>
      </c>
      <c r="B12" s="2"/>
      <c r="C12" s="2" t="s">
        <v>137</v>
      </c>
      <c r="D12" s="2">
        <v>9212116002</v>
      </c>
      <c r="E12" s="2" t="s">
        <v>9</v>
      </c>
      <c r="F12" s="2">
        <v>0</v>
      </c>
      <c r="G12" s="2"/>
      <c r="H12" s="2"/>
      <c r="I12" s="2"/>
    </row>
    <row r="13" spans="1:9" ht="23.25">
      <c r="A13" s="2">
        <v>11</v>
      </c>
      <c r="B13" s="2"/>
      <c r="C13" s="2" t="s">
        <v>309</v>
      </c>
      <c r="D13" s="2"/>
      <c r="E13" s="2" t="s">
        <v>11</v>
      </c>
      <c r="F13" s="2">
        <v>1</v>
      </c>
      <c r="G13" s="2"/>
      <c r="H13" s="2"/>
      <c r="I13" s="2"/>
    </row>
    <row r="14" spans="1:9" ht="23.25">
      <c r="A14" s="2">
        <v>12</v>
      </c>
      <c r="B14" s="2"/>
      <c r="C14" s="2" t="s">
        <v>245</v>
      </c>
      <c r="D14" s="2">
        <v>8882534320</v>
      </c>
      <c r="E14" s="2" t="s">
        <v>11</v>
      </c>
      <c r="F14" s="2">
        <v>1.5</v>
      </c>
      <c r="G14" s="2"/>
      <c r="H14" s="2"/>
      <c r="I14" s="2"/>
    </row>
    <row r="15" spans="1:9" ht="23.25">
      <c r="A15" s="2">
        <v>13</v>
      </c>
      <c r="B15" s="2"/>
      <c r="C15" s="2" t="s">
        <v>363</v>
      </c>
      <c r="D15" s="2"/>
      <c r="E15" s="2" t="s">
        <v>55</v>
      </c>
      <c r="F15" s="2">
        <v>2</v>
      </c>
      <c r="G15" s="2">
        <v>0</v>
      </c>
      <c r="H15" s="2" t="s">
        <v>158</v>
      </c>
      <c r="I15" s="2"/>
    </row>
    <row r="16" spans="1:9" ht="23.25">
      <c r="A16" s="2">
        <v>14</v>
      </c>
      <c r="B16" s="2"/>
      <c r="C16" s="2" t="s">
        <v>228</v>
      </c>
      <c r="D16" s="2"/>
      <c r="E16" s="2" t="s">
        <v>11</v>
      </c>
      <c r="F16" s="2">
        <v>1</v>
      </c>
      <c r="G16" s="2"/>
      <c r="H16" s="2"/>
      <c r="I16" s="2"/>
    </row>
    <row r="17" spans="1:9" ht="23.25">
      <c r="A17" s="2">
        <v>15</v>
      </c>
      <c r="B17" s="2"/>
      <c r="C17" s="2" t="s">
        <v>345</v>
      </c>
      <c r="D17" s="2"/>
      <c r="E17" s="2" t="s">
        <v>11</v>
      </c>
      <c r="F17" s="2">
        <v>1</v>
      </c>
      <c r="G17" s="2"/>
      <c r="H17" s="2"/>
      <c r="I17" s="2"/>
    </row>
    <row r="18" spans="1:9" ht="23.25">
      <c r="A18" s="2">
        <v>16</v>
      </c>
      <c r="B18" s="2"/>
      <c r="C18" s="2" t="s">
        <v>318</v>
      </c>
      <c r="D18" s="2"/>
      <c r="E18" s="2" t="s">
        <v>11</v>
      </c>
      <c r="F18" s="2">
        <v>1</v>
      </c>
      <c r="G18" s="2"/>
      <c r="H18" s="2"/>
      <c r="I18" s="2"/>
    </row>
    <row r="19" spans="1:9" ht="23.25">
      <c r="A19" s="2">
        <v>17</v>
      </c>
      <c r="B19" s="2"/>
      <c r="C19" s="2" t="s">
        <v>448</v>
      </c>
      <c r="D19" s="2"/>
      <c r="E19" s="2" t="s">
        <v>11</v>
      </c>
      <c r="F19" s="2">
        <v>1</v>
      </c>
      <c r="G19" s="2"/>
      <c r="H19" s="2" t="s">
        <v>449</v>
      </c>
      <c r="I19" s="2"/>
    </row>
    <row r="20" spans="1:9" ht="23.25">
      <c r="A20" s="2">
        <v>18</v>
      </c>
      <c r="B20" s="2" t="s">
        <v>407</v>
      </c>
      <c r="C20" s="2" t="s">
        <v>406</v>
      </c>
      <c r="D20" s="2">
        <v>9891244104</v>
      </c>
      <c r="E20" s="2" t="s">
        <v>300</v>
      </c>
      <c r="F20" s="2">
        <v>0.5</v>
      </c>
      <c r="G20" s="2"/>
      <c r="H20" s="2"/>
      <c r="I20" s="2"/>
    </row>
    <row r="21" spans="1:9" ht="23.25">
      <c r="A21" s="2"/>
      <c r="B21" s="76"/>
      <c r="C21" s="2"/>
      <c r="D21" s="2"/>
      <c r="E21" s="2" t="s">
        <v>29</v>
      </c>
      <c r="F21" s="2">
        <f>SUM(F3:F20)</f>
        <v>18.5</v>
      </c>
      <c r="G21" s="2">
        <f>SUM(G3:G16)</f>
        <v>3.5</v>
      </c>
      <c r="H21" s="2"/>
      <c r="I21" s="2"/>
    </row>
  </sheetData>
  <mergeCells count="1">
    <mergeCell ref="A1:H1"/>
  </mergeCells>
  <pageMargins left="0.75" right="0.75" top="1" bottom="1" header="0.5" footer="0.5"/>
  <pageSetup scale="5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8"/>
  <sheetViews>
    <sheetView topLeftCell="A13" workbookViewId="0">
      <selection activeCell="H24" sqref="H24"/>
    </sheetView>
  </sheetViews>
  <sheetFormatPr defaultRowHeight="15"/>
  <cols>
    <col min="1" max="1" width="6" bestFit="1" customWidth="1"/>
    <col min="2" max="2" width="28.140625" bestFit="1" customWidth="1"/>
    <col min="3" max="3" width="43.140625" bestFit="1" customWidth="1"/>
    <col min="4" max="4" width="18.7109375" bestFit="1" customWidth="1"/>
    <col min="5" max="5" width="20.42578125" bestFit="1" customWidth="1"/>
    <col min="6" max="6" width="8.140625" bestFit="1" customWidth="1"/>
    <col min="7" max="7" width="6.42578125" bestFit="1" customWidth="1"/>
    <col min="8" max="8" width="27.28515625" bestFit="1" customWidth="1"/>
    <col min="9" max="9" width="8.7109375" bestFit="1" customWidth="1"/>
    <col min="10" max="10" width="0" hidden="1" customWidth="1"/>
  </cols>
  <sheetData>
    <row r="1" spans="1:9" ht="23.25">
      <c r="A1" s="87" t="s">
        <v>471</v>
      </c>
      <c r="B1" s="87"/>
      <c r="C1" s="87"/>
      <c r="D1" s="87"/>
      <c r="E1" s="87"/>
      <c r="F1" s="87"/>
      <c r="G1" s="87"/>
      <c r="H1" s="87"/>
      <c r="I1" s="38">
        <v>1</v>
      </c>
    </row>
    <row r="2" spans="1:9" ht="23.25">
      <c r="A2" s="11" t="s">
        <v>41</v>
      </c>
      <c r="B2" s="11" t="s">
        <v>1</v>
      </c>
      <c r="C2" s="11" t="s">
        <v>30</v>
      </c>
      <c r="D2" s="11" t="s">
        <v>31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</row>
    <row r="3" spans="1:9" s="3" customFormat="1" ht="23.25">
      <c r="A3" s="23">
        <v>1</v>
      </c>
      <c r="B3" s="4" t="s">
        <v>52</v>
      </c>
      <c r="C3" s="4" t="s">
        <v>53</v>
      </c>
      <c r="D3" s="4">
        <v>8587882781</v>
      </c>
      <c r="E3" s="4" t="s">
        <v>11</v>
      </c>
      <c r="F3" s="4">
        <v>1</v>
      </c>
      <c r="G3" s="23"/>
      <c r="H3" s="4"/>
      <c r="I3" s="4"/>
    </row>
    <row r="4" spans="1:9" s="3" customFormat="1" ht="23.25">
      <c r="A4" s="23">
        <v>2</v>
      </c>
      <c r="B4" s="4" t="s">
        <v>203</v>
      </c>
      <c r="C4" s="4" t="s">
        <v>296</v>
      </c>
      <c r="D4" s="4">
        <v>8375024088</v>
      </c>
      <c r="E4" s="4" t="s">
        <v>11</v>
      </c>
      <c r="F4" s="4">
        <v>0</v>
      </c>
      <c r="G4" s="23"/>
      <c r="H4" s="4"/>
      <c r="I4" s="4"/>
    </row>
    <row r="5" spans="1:9" s="3" customFormat="1" ht="23.25">
      <c r="A5" s="23">
        <v>3</v>
      </c>
      <c r="B5" s="4"/>
      <c r="C5" s="4" t="s">
        <v>322</v>
      </c>
      <c r="D5" s="4">
        <v>9971072738</v>
      </c>
      <c r="E5" s="4" t="s">
        <v>49</v>
      </c>
      <c r="F5" s="4">
        <v>3</v>
      </c>
      <c r="G5" s="23"/>
      <c r="H5" s="4"/>
      <c r="I5" s="4"/>
    </row>
    <row r="6" spans="1:9" s="3" customFormat="1" ht="23.25">
      <c r="A6" s="23">
        <v>4</v>
      </c>
      <c r="B6" s="4" t="s">
        <v>175</v>
      </c>
      <c r="C6" s="4" t="s">
        <v>304</v>
      </c>
      <c r="D6" s="4">
        <v>9968412357</v>
      </c>
      <c r="E6" s="4" t="s">
        <v>55</v>
      </c>
      <c r="F6" s="4">
        <v>2</v>
      </c>
      <c r="G6" s="23"/>
      <c r="H6" s="4"/>
      <c r="I6" s="4"/>
    </row>
    <row r="7" spans="1:9" s="3" customFormat="1" ht="23.25">
      <c r="A7" s="23">
        <v>5</v>
      </c>
      <c r="B7" s="4"/>
      <c r="C7" s="4" t="s">
        <v>284</v>
      </c>
      <c r="D7" s="4">
        <v>8375058809</v>
      </c>
      <c r="E7" s="4" t="s">
        <v>55</v>
      </c>
      <c r="F7" s="4">
        <v>2</v>
      </c>
      <c r="G7" s="23"/>
      <c r="H7" s="4"/>
      <c r="I7" s="4"/>
    </row>
    <row r="8" spans="1:9" s="3" customFormat="1" ht="23.25">
      <c r="A8" s="23">
        <v>6</v>
      </c>
      <c r="B8" s="4"/>
      <c r="C8" s="4" t="s">
        <v>392</v>
      </c>
      <c r="D8" s="4">
        <v>9910377339</v>
      </c>
      <c r="E8" s="4" t="s">
        <v>393</v>
      </c>
      <c r="F8" s="4"/>
      <c r="G8" s="23">
        <v>0.5</v>
      </c>
      <c r="H8" s="4"/>
      <c r="I8" s="4"/>
    </row>
    <row r="9" spans="1:9" s="3" customFormat="1" ht="23.25">
      <c r="A9" s="23">
        <v>7</v>
      </c>
      <c r="B9" s="23" t="s">
        <v>42</v>
      </c>
      <c r="C9" s="23" t="s">
        <v>43</v>
      </c>
      <c r="D9" s="23">
        <v>9136207374</v>
      </c>
      <c r="E9" s="23" t="s">
        <v>9</v>
      </c>
      <c r="F9" s="23">
        <v>0</v>
      </c>
      <c r="G9" s="23"/>
      <c r="H9" s="23" t="s">
        <v>159</v>
      </c>
      <c r="I9" s="24"/>
    </row>
    <row r="10" spans="1:9" s="3" customFormat="1" ht="23.25">
      <c r="A10" s="23">
        <v>8</v>
      </c>
      <c r="B10" s="4"/>
      <c r="C10" s="4" t="s">
        <v>48</v>
      </c>
      <c r="D10" s="4">
        <v>9717111741</v>
      </c>
      <c r="E10" s="4" t="s">
        <v>34</v>
      </c>
      <c r="F10" s="4">
        <v>3</v>
      </c>
      <c r="G10" s="23"/>
      <c r="H10" s="4" t="s">
        <v>139</v>
      </c>
      <c r="I10" s="24"/>
    </row>
    <row r="11" spans="1:9" s="3" customFormat="1" ht="23.25">
      <c r="A11" s="23">
        <v>9</v>
      </c>
      <c r="B11" s="4"/>
      <c r="C11" s="4" t="s">
        <v>356</v>
      </c>
      <c r="D11" s="4">
        <v>8077079969</v>
      </c>
      <c r="E11" s="4" t="s">
        <v>11</v>
      </c>
      <c r="F11" s="4">
        <v>1</v>
      </c>
      <c r="G11" s="23"/>
      <c r="H11" s="4"/>
      <c r="I11" s="24"/>
    </row>
    <row r="12" spans="1:9" s="3" customFormat="1" ht="23.25">
      <c r="A12" s="23">
        <v>10</v>
      </c>
      <c r="B12" s="4" t="s">
        <v>44</v>
      </c>
      <c r="C12" s="4" t="s">
        <v>45</v>
      </c>
      <c r="D12" s="4">
        <v>9136207474</v>
      </c>
      <c r="E12" s="4" t="s">
        <v>179</v>
      </c>
      <c r="F12" s="4">
        <v>4</v>
      </c>
      <c r="G12" s="23"/>
      <c r="H12" s="4"/>
      <c r="I12" s="4"/>
    </row>
    <row r="13" spans="1:9" s="3" customFormat="1" ht="23.25">
      <c r="A13" s="23">
        <v>11</v>
      </c>
      <c r="B13" s="4"/>
      <c r="C13" s="4" t="s">
        <v>46</v>
      </c>
      <c r="D13" s="4">
        <v>9654007470</v>
      </c>
      <c r="E13" s="4" t="s">
        <v>11</v>
      </c>
      <c r="F13" s="4">
        <v>0</v>
      </c>
      <c r="G13" s="23"/>
      <c r="H13" s="4" t="s">
        <v>383</v>
      </c>
      <c r="I13" s="4"/>
    </row>
    <row r="14" spans="1:9" s="3" customFormat="1" ht="23.25">
      <c r="A14" s="23">
        <v>12</v>
      </c>
      <c r="B14" s="4"/>
      <c r="C14" s="4" t="s">
        <v>128</v>
      </c>
      <c r="D14" s="4">
        <v>9811315816</v>
      </c>
      <c r="E14" s="4" t="s">
        <v>187</v>
      </c>
      <c r="F14" s="4">
        <v>2</v>
      </c>
      <c r="G14" s="23"/>
      <c r="H14" s="4"/>
      <c r="I14" s="4"/>
    </row>
    <row r="15" spans="1:9" s="3" customFormat="1" ht="23.25">
      <c r="A15" s="23">
        <v>13</v>
      </c>
      <c r="B15" s="4"/>
      <c r="C15" s="4" t="s">
        <v>321</v>
      </c>
      <c r="D15" s="4">
        <v>9899941084</v>
      </c>
      <c r="E15" s="4" t="s">
        <v>55</v>
      </c>
      <c r="F15" s="4">
        <v>2</v>
      </c>
      <c r="G15" s="23"/>
      <c r="H15" s="4"/>
      <c r="I15" s="4"/>
    </row>
    <row r="16" spans="1:9" s="3" customFormat="1" ht="23.25">
      <c r="A16" s="23">
        <v>14</v>
      </c>
      <c r="B16" s="4"/>
      <c r="C16" s="4" t="s">
        <v>50</v>
      </c>
      <c r="D16" s="4">
        <v>9910113992</v>
      </c>
      <c r="E16" s="4" t="s">
        <v>12</v>
      </c>
      <c r="F16" s="4">
        <v>0</v>
      </c>
      <c r="G16" s="23"/>
      <c r="H16" s="4"/>
      <c r="I16" s="4"/>
    </row>
    <row r="17" spans="1:10" s="3" customFormat="1" ht="23.25">
      <c r="A17" s="23">
        <v>15</v>
      </c>
      <c r="B17" s="4" t="s">
        <v>47</v>
      </c>
      <c r="C17" s="4" t="s">
        <v>169</v>
      </c>
      <c r="D17" s="4">
        <v>9891707677</v>
      </c>
      <c r="E17" s="4" t="s">
        <v>10</v>
      </c>
      <c r="F17" s="4">
        <v>2</v>
      </c>
      <c r="G17" s="23"/>
      <c r="H17" s="4"/>
      <c r="I17" s="4"/>
    </row>
    <row r="18" spans="1:10" s="3" customFormat="1" ht="23.25">
      <c r="A18" s="23">
        <v>16</v>
      </c>
      <c r="B18" s="4" t="s">
        <v>250</v>
      </c>
      <c r="C18" s="4" t="s">
        <v>246</v>
      </c>
      <c r="D18" s="4">
        <v>8826684440</v>
      </c>
      <c r="E18" s="4" t="s">
        <v>200</v>
      </c>
      <c r="F18" s="4"/>
      <c r="G18" s="23">
        <v>1.5</v>
      </c>
      <c r="H18" s="4"/>
      <c r="I18" s="4"/>
    </row>
    <row r="19" spans="1:10" s="3" customFormat="1" ht="23.25">
      <c r="A19" s="23">
        <v>17</v>
      </c>
      <c r="B19" s="4"/>
      <c r="C19" s="4" t="s">
        <v>368</v>
      </c>
      <c r="D19" s="4">
        <v>7210573323</v>
      </c>
      <c r="E19" s="4" t="s">
        <v>369</v>
      </c>
      <c r="F19" s="4">
        <v>0.5</v>
      </c>
      <c r="G19" s="23"/>
      <c r="H19" s="4" t="s">
        <v>370</v>
      </c>
      <c r="I19" s="4"/>
    </row>
    <row r="20" spans="1:10" s="3" customFormat="1" ht="23.25">
      <c r="A20" s="23">
        <v>18</v>
      </c>
      <c r="B20" s="4"/>
      <c r="C20" s="4" t="s">
        <v>368</v>
      </c>
      <c r="D20" s="4"/>
      <c r="E20" s="4" t="s">
        <v>218</v>
      </c>
      <c r="F20" s="4">
        <v>0.5</v>
      </c>
      <c r="G20" s="23"/>
      <c r="H20" s="4"/>
      <c r="I20" s="4"/>
    </row>
    <row r="21" spans="1:10" s="3" customFormat="1" ht="23.25">
      <c r="A21" s="23">
        <v>19</v>
      </c>
      <c r="B21" s="4"/>
      <c r="C21" s="4" t="s">
        <v>360</v>
      </c>
      <c r="D21" s="4">
        <v>8171945058</v>
      </c>
      <c r="E21" s="4" t="s">
        <v>213</v>
      </c>
      <c r="F21" s="4">
        <v>0</v>
      </c>
      <c r="G21" s="23">
        <v>0</v>
      </c>
      <c r="H21" s="4"/>
      <c r="I21" s="4"/>
    </row>
    <row r="22" spans="1:10" s="3" customFormat="1" ht="23.25">
      <c r="A22" s="23">
        <v>20</v>
      </c>
      <c r="B22" s="4"/>
      <c r="C22" s="4" t="s">
        <v>396</v>
      </c>
      <c r="D22" s="4">
        <v>7056341649</v>
      </c>
      <c r="E22" s="4" t="s">
        <v>38</v>
      </c>
      <c r="F22" s="4"/>
      <c r="G22" s="23">
        <v>1</v>
      </c>
      <c r="H22" s="4"/>
      <c r="I22" s="4"/>
    </row>
    <row r="23" spans="1:10" s="3" customFormat="1" ht="23.25">
      <c r="A23" s="23">
        <v>21</v>
      </c>
      <c r="B23" s="4"/>
      <c r="C23" s="4" t="s">
        <v>278</v>
      </c>
      <c r="D23" s="4">
        <v>9958833292</v>
      </c>
      <c r="E23" s="4" t="s">
        <v>216</v>
      </c>
      <c r="F23" s="4">
        <v>1</v>
      </c>
      <c r="G23" s="23"/>
      <c r="H23" s="4"/>
      <c r="I23" s="4"/>
    </row>
    <row r="24" spans="1:10" s="3" customFormat="1" ht="23.25">
      <c r="A24" s="23">
        <v>22</v>
      </c>
      <c r="B24" s="4"/>
      <c r="C24" s="4" t="s">
        <v>424</v>
      </c>
      <c r="D24" s="4">
        <v>9319748522</v>
      </c>
      <c r="E24" s="4" t="s">
        <v>11</v>
      </c>
      <c r="F24" s="4">
        <v>2</v>
      </c>
      <c r="G24" s="23"/>
      <c r="H24" s="4"/>
      <c r="I24" s="4"/>
    </row>
    <row r="25" spans="1:10" s="3" customFormat="1" ht="23.25">
      <c r="A25" s="23">
        <v>23</v>
      </c>
      <c r="B25" s="4"/>
      <c r="C25" s="23" t="s">
        <v>212</v>
      </c>
      <c r="D25" s="4">
        <v>9911245981</v>
      </c>
      <c r="E25" s="4" t="s">
        <v>55</v>
      </c>
      <c r="F25" s="4">
        <v>2</v>
      </c>
      <c r="G25" s="23"/>
      <c r="H25" s="4"/>
      <c r="I25" s="4"/>
    </row>
    <row r="26" spans="1:10" ht="23.25">
      <c r="A26" s="23">
        <v>24</v>
      </c>
      <c r="B26" s="4"/>
      <c r="C26" s="23" t="s">
        <v>180</v>
      </c>
      <c r="D26" s="23">
        <v>9307460482</v>
      </c>
      <c r="E26" s="4" t="s">
        <v>10</v>
      </c>
      <c r="F26" s="4">
        <v>1</v>
      </c>
      <c r="G26" s="23"/>
      <c r="H26" s="24"/>
      <c r="I26" s="24"/>
    </row>
    <row r="27" spans="1:10" ht="23.25">
      <c r="A27" s="23">
        <v>25</v>
      </c>
      <c r="B27" s="4"/>
      <c r="C27" s="23" t="s">
        <v>344</v>
      </c>
      <c r="D27" s="4">
        <v>7840875551</v>
      </c>
      <c r="E27" s="4" t="s">
        <v>55</v>
      </c>
      <c r="F27" s="4">
        <v>2</v>
      </c>
      <c r="G27" s="23"/>
      <c r="H27" s="4"/>
      <c r="I27" s="4"/>
    </row>
    <row r="28" spans="1:10" ht="23.25">
      <c r="A28" s="23">
        <v>26</v>
      </c>
      <c r="B28" s="4"/>
      <c r="C28" s="23" t="s">
        <v>151</v>
      </c>
      <c r="D28" s="4">
        <v>9310523102</v>
      </c>
      <c r="E28" s="4" t="s">
        <v>55</v>
      </c>
      <c r="F28" s="4">
        <v>2</v>
      </c>
      <c r="G28" s="23"/>
      <c r="H28" s="4"/>
      <c r="I28" s="4"/>
    </row>
    <row r="29" spans="1:10" ht="23.25">
      <c r="A29" s="23">
        <v>27</v>
      </c>
      <c r="B29" s="4"/>
      <c r="C29" s="23" t="s">
        <v>152</v>
      </c>
      <c r="D29" s="4">
        <v>9873199009</v>
      </c>
      <c r="E29" s="4" t="s">
        <v>201</v>
      </c>
      <c r="F29" s="4"/>
      <c r="G29" s="23">
        <v>0</v>
      </c>
      <c r="H29" s="4"/>
      <c r="I29" s="4"/>
    </row>
    <row r="30" spans="1:10" s="3" customFormat="1" ht="23.25">
      <c r="A30" s="23">
        <v>28</v>
      </c>
      <c r="B30" s="4"/>
      <c r="C30" s="4" t="s">
        <v>253</v>
      </c>
      <c r="D30" s="4">
        <v>9136887616</v>
      </c>
      <c r="E30" s="4" t="s">
        <v>273</v>
      </c>
      <c r="F30" s="4">
        <v>0.5</v>
      </c>
      <c r="G30" s="23"/>
      <c r="H30" s="4"/>
      <c r="I30" s="4"/>
    </row>
    <row r="31" spans="1:10" s="3" customFormat="1" ht="23.25">
      <c r="A31" s="23">
        <v>29</v>
      </c>
      <c r="B31" s="4"/>
      <c r="C31" s="4" t="s">
        <v>51</v>
      </c>
      <c r="D31" s="4">
        <v>8826726306</v>
      </c>
      <c r="E31" s="4" t="s">
        <v>12</v>
      </c>
      <c r="F31" s="4">
        <v>0</v>
      </c>
      <c r="G31" s="23"/>
      <c r="H31" s="4"/>
      <c r="I31" s="4"/>
    </row>
    <row r="32" spans="1:10" ht="23.25">
      <c r="A32" s="23">
        <v>30</v>
      </c>
      <c r="B32" s="4"/>
      <c r="C32" s="23" t="s">
        <v>161</v>
      </c>
      <c r="D32" s="4">
        <v>9711991430</v>
      </c>
      <c r="E32" s="4" t="s">
        <v>10</v>
      </c>
      <c r="F32" s="4">
        <v>1</v>
      </c>
      <c r="G32" s="4"/>
      <c r="H32" s="4"/>
      <c r="I32" s="4"/>
      <c r="J32" s="4"/>
    </row>
    <row r="33" spans="1:19" ht="23.25">
      <c r="A33" s="23">
        <v>31</v>
      </c>
      <c r="B33" s="4"/>
      <c r="C33" s="23" t="s">
        <v>431</v>
      </c>
      <c r="D33" s="4">
        <v>8439978886</v>
      </c>
      <c r="E33" s="4" t="s">
        <v>38</v>
      </c>
      <c r="F33" s="4"/>
      <c r="G33" s="4">
        <v>1</v>
      </c>
      <c r="H33" s="4" t="s">
        <v>225</v>
      </c>
      <c r="I33" s="4"/>
      <c r="J33" s="4"/>
    </row>
    <row r="34" spans="1:19" s="35" customFormat="1" ht="23.25">
      <c r="A34" s="23">
        <v>32</v>
      </c>
      <c r="B34" s="4"/>
      <c r="C34" s="5" t="s">
        <v>317</v>
      </c>
      <c r="D34" s="4">
        <v>8449428988</v>
      </c>
      <c r="E34" s="4" t="s">
        <v>9</v>
      </c>
      <c r="F34" s="4">
        <v>2</v>
      </c>
      <c r="G34" s="4"/>
      <c r="H34" s="4" t="s">
        <v>382</v>
      </c>
      <c r="I34" s="4"/>
      <c r="J34" s="4"/>
    </row>
    <row r="35" spans="1:19" s="35" customFormat="1" ht="23.25">
      <c r="A35" s="23">
        <v>33</v>
      </c>
      <c r="B35" s="4"/>
      <c r="C35" s="5" t="s">
        <v>193</v>
      </c>
      <c r="D35" s="4">
        <v>9871122152</v>
      </c>
      <c r="E35" s="4" t="s">
        <v>200</v>
      </c>
      <c r="F35" s="4"/>
      <c r="G35" s="4">
        <v>1.5</v>
      </c>
      <c r="H35" s="4"/>
      <c r="I35" s="4"/>
      <c r="J35" s="4"/>
    </row>
    <row r="36" spans="1:19" s="35" customFormat="1" ht="23.25">
      <c r="A36" s="23">
        <v>34</v>
      </c>
      <c r="B36" s="4" t="s">
        <v>379</v>
      </c>
      <c r="C36" s="5" t="s">
        <v>378</v>
      </c>
      <c r="D36" s="4">
        <v>9899366551</v>
      </c>
      <c r="E36" s="4" t="s">
        <v>187</v>
      </c>
      <c r="F36" s="4">
        <v>2</v>
      </c>
      <c r="G36" s="4"/>
      <c r="H36" s="4"/>
      <c r="I36" s="4"/>
      <c r="J36" s="84"/>
      <c r="K36" s="84"/>
      <c r="L36" s="84"/>
      <c r="M36" s="84"/>
      <c r="N36" s="84"/>
      <c r="O36" s="84"/>
      <c r="P36" s="84"/>
      <c r="Q36" s="84"/>
      <c r="R36" s="84"/>
      <c r="S36" s="84"/>
    </row>
    <row r="37" spans="1:19" s="35" customFormat="1" ht="23.25">
      <c r="A37" s="23">
        <v>35</v>
      </c>
      <c r="B37" s="4"/>
      <c r="C37" s="5" t="s">
        <v>426</v>
      </c>
      <c r="D37" s="4"/>
      <c r="E37" s="4" t="s">
        <v>49</v>
      </c>
      <c r="F37" s="4">
        <v>3</v>
      </c>
      <c r="G37" s="4"/>
      <c r="H37" s="4"/>
      <c r="I37" s="4"/>
      <c r="J37" s="84"/>
      <c r="K37" s="84"/>
      <c r="L37" s="84"/>
      <c r="M37" s="84"/>
      <c r="N37" s="84"/>
      <c r="O37" s="84"/>
      <c r="P37" s="84"/>
      <c r="Q37" s="84"/>
      <c r="R37" s="84"/>
      <c r="S37" s="84"/>
    </row>
    <row r="38" spans="1:19" ht="23.25">
      <c r="A38" s="68"/>
      <c r="B38" s="68"/>
      <c r="C38" s="68"/>
      <c r="D38" s="68"/>
      <c r="E38" s="68" t="s">
        <v>29</v>
      </c>
      <c r="F38" s="68">
        <f>SUM(F3:F37)</f>
        <v>41.5</v>
      </c>
      <c r="G38" s="68">
        <f>SUM(G3:G37)</f>
        <v>5.5</v>
      </c>
      <c r="H38" s="68"/>
      <c r="I38" s="68"/>
    </row>
  </sheetData>
  <mergeCells count="1">
    <mergeCell ref="A1:H1"/>
  </mergeCells>
  <pageMargins left="0.7" right="0.7" top="0.75" bottom="0.75" header="0.3" footer="0.3"/>
  <pageSetup paperSize="9" scale="5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Views>
    <sheetView tabSelected="1" zoomScale="115" zoomScaleNormal="115" workbookViewId="0">
      <selection activeCell="F12" sqref="F12"/>
    </sheetView>
  </sheetViews>
  <sheetFormatPr defaultRowHeight="15"/>
  <cols>
    <col min="2" max="2" width="15.5703125" bestFit="1" customWidth="1"/>
    <col min="3" max="3" width="6.7109375" bestFit="1" customWidth="1"/>
    <col min="4" max="4" width="5.42578125" customWidth="1"/>
    <col min="5" max="5" width="6.7109375" bestFit="1" customWidth="1"/>
    <col min="6" max="6" width="7.7109375" bestFit="1" customWidth="1"/>
    <col min="7" max="7" width="9.140625" customWidth="1"/>
    <col min="10" max="10" width="0" hidden="1" customWidth="1"/>
  </cols>
  <sheetData>
    <row r="1" spans="1:13" ht="31.5">
      <c r="A1" s="95" t="s">
        <v>140</v>
      </c>
      <c r="B1" s="96"/>
      <c r="C1" s="96"/>
      <c r="D1" s="96"/>
      <c r="E1" s="96"/>
      <c r="F1" s="96"/>
      <c r="G1" s="97"/>
    </row>
    <row r="2" spans="1:13" ht="21">
      <c r="A2" s="98" t="s">
        <v>108</v>
      </c>
      <c r="B2" s="99"/>
      <c r="C2" s="99"/>
      <c r="D2" s="99"/>
      <c r="E2" s="38">
        <v>1</v>
      </c>
      <c r="F2" s="38" t="s">
        <v>472</v>
      </c>
      <c r="G2" s="39">
        <v>25</v>
      </c>
    </row>
    <row r="3" spans="1:13">
      <c r="A3" s="40" t="s">
        <v>109</v>
      </c>
      <c r="B3" s="41" t="s">
        <v>110</v>
      </c>
      <c r="C3" s="41" t="s">
        <v>5</v>
      </c>
      <c r="D3" s="41" t="s">
        <v>6</v>
      </c>
      <c r="E3" s="41" t="s">
        <v>29</v>
      </c>
      <c r="F3" s="41" t="s">
        <v>111</v>
      </c>
      <c r="G3" s="42" t="s">
        <v>112</v>
      </c>
    </row>
    <row r="4" spans="1:13">
      <c r="A4" s="43">
        <v>1</v>
      </c>
      <c r="B4" s="43" t="s">
        <v>113</v>
      </c>
      <c r="C4" s="43">
        <f>Vashundhar_1!F38</f>
        <v>35.5</v>
      </c>
      <c r="D4" s="43">
        <f>Vashundhar_1!G38</f>
        <v>3.5</v>
      </c>
      <c r="E4" s="43">
        <f t="shared" ref="E4:E12" si="0">D4+C4</f>
        <v>39</v>
      </c>
      <c r="F4" s="43">
        <v>44</v>
      </c>
      <c r="G4" s="43">
        <f t="shared" ref="G4:G12" si="1">F4-E4</f>
        <v>5</v>
      </c>
    </row>
    <row r="5" spans="1:13">
      <c r="A5" s="43">
        <v>2</v>
      </c>
      <c r="B5" s="43" t="s">
        <v>114</v>
      </c>
      <c r="C5" s="43">
        <f>Vashundhar_2!F35</f>
        <v>29</v>
      </c>
      <c r="D5" s="43">
        <f>Vashundhar_2!G35</f>
        <v>11</v>
      </c>
      <c r="E5" s="43">
        <f t="shared" si="0"/>
        <v>40</v>
      </c>
      <c r="F5" s="43">
        <v>40</v>
      </c>
      <c r="G5" s="43">
        <f>F5-E5</f>
        <v>0</v>
      </c>
      <c r="I5" t="s">
        <v>231</v>
      </c>
    </row>
    <row r="6" spans="1:13">
      <c r="A6" s="43">
        <v>3</v>
      </c>
      <c r="B6" s="43" t="s">
        <v>266</v>
      </c>
      <c r="C6" s="43">
        <f>'Vashundhra-3'!F42</f>
        <v>31.5</v>
      </c>
      <c r="D6" s="43">
        <f>'Vashundhra-3'!G42</f>
        <v>12</v>
      </c>
      <c r="E6" s="43">
        <f t="shared" si="0"/>
        <v>43.5</v>
      </c>
      <c r="F6" s="43">
        <v>49</v>
      </c>
      <c r="G6" s="43">
        <f>F6-E6</f>
        <v>5.5</v>
      </c>
      <c r="I6" t="s">
        <v>231</v>
      </c>
    </row>
    <row r="7" spans="1:13">
      <c r="A7" s="43">
        <v>4</v>
      </c>
      <c r="B7" s="43" t="s">
        <v>115</v>
      </c>
      <c r="C7" s="43">
        <f>Shalimar_Ext!F39</f>
        <v>34.5</v>
      </c>
      <c r="D7" s="43">
        <f>Shalimar_Ext!G39</f>
        <v>16.5</v>
      </c>
      <c r="E7" s="43">
        <f t="shared" si="0"/>
        <v>51</v>
      </c>
      <c r="F7" s="43">
        <v>53</v>
      </c>
      <c r="G7" s="43">
        <f>F7-E7</f>
        <v>2</v>
      </c>
      <c r="I7" t="s">
        <v>231</v>
      </c>
      <c r="L7" t="s">
        <v>139</v>
      </c>
    </row>
    <row r="8" spans="1:13">
      <c r="A8" s="43">
        <v>5</v>
      </c>
      <c r="B8" s="43" t="s">
        <v>116</v>
      </c>
      <c r="C8" s="43">
        <f>Rajnagar_Ext!F36</f>
        <v>30</v>
      </c>
      <c r="D8" s="43">
        <f>Rajnagar_Ext!H36</f>
        <v>3</v>
      </c>
      <c r="E8" s="43">
        <f t="shared" si="0"/>
        <v>33</v>
      </c>
      <c r="F8" s="43">
        <v>34</v>
      </c>
      <c r="G8" s="43">
        <f>F8-E8</f>
        <v>1</v>
      </c>
    </row>
    <row r="9" spans="1:13">
      <c r="A9" s="43">
        <v>6</v>
      </c>
      <c r="B9" s="43" t="s">
        <v>117</v>
      </c>
      <c r="C9" s="43">
        <f>Vaishali_OLD!F42</f>
        <v>31.5</v>
      </c>
      <c r="D9" s="43">
        <f>Vaishali_OLD!G42</f>
        <v>8.5</v>
      </c>
      <c r="E9" s="43">
        <f t="shared" si="0"/>
        <v>40</v>
      </c>
      <c r="F9" s="43">
        <v>31</v>
      </c>
      <c r="G9" s="43">
        <f t="shared" si="1"/>
        <v>-9</v>
      </c>
    </row>
    <row r="10" spans="1:13">
      <c r="A10" s="43">
        <v>7</v>
      </c>
      <c r="B10" s="43" t="s">
        <v>118</v>
      </c>
      <c r="C10" s="43">
        <f>Vaishali_1!F33</f>
        <v>26.5</v>
      </c>
      <c r="D10" s="43">
        <f>Vaishali_1!G33</f>
        <v>5</v>
      </c>
      <c r="E10" s="43">
        <f t="shared" si="0"/>
        <v>31.5</v>
      </c>
      <c r="F10" s="43">
        <v>30</v>
      </c>
      <c r="G10" s="43">
        <f t="shared" si="1"/>
        <v>-1.5</v>
      </c>
      <c r="L10" t="s">
        <v>139</v>
      </c>
    </row>
    <row r="11" spans="1:13">
      <c r="A11" s="43">
        <v>8</v>
      </c>
      <c r="B11" s="43" t="s">
        <v>119</v>
      </c>
      <c r="C11" s="43">
        <f>Shop!F21</f>
        <v>18.5</v>
      </c>
      <c r="D11" s="43">
        <f>Shop!G21</f>
        <v>3.5</v>
      </c>
      <c r="E11" s="43">
        <f t="shared" si="0"/>
        <v>22</v>
      </c>
      <c r="F11" s="43"/>
      <c r="G11" s="43">
        <f t="shared" si="1"/>
        <v>-22</v>
      </c>
      <c r="K11" t="s">
        <v>139</v>
      </c>
    </row>
    <row r="12" spans="1:13">
      <c r="A12" s="43">
        <v>9</v>
      </c>
      <c r="B12" s="46" t="s">
        <v>279</v>
      </c>
      <c r="C12" s="46">
        <f>'Siddhart Vihar'!F38</f>
        <v>41.5</v>
      </c>
      <c r="D12" s="46">
        <f>'Siddhart Vihar'!G38</f>
        <v>5.5</v>
      </c>
      <c r="E12" s="43">
        <f t="shared" si="0"/>
        <v>47</v>
      </c>
      <c r="F12" s="43"/>
      <c r="G12" s="43">
        <f t="shared" si="1"/>
        <v>-47</v>
      </c>
    </row>
    <row r="13" spans="1:13" ht="15.75" thickBot="1">
      <c r="A13" s="44" t="s">
        <v>163</v>
      </c>
      <c r="B13" s="45" t="s">
        <v>120</v>
      </c>
      <c r="C13" s="45">
        <f t="shared" ref="C13:G13" si="2">SUM(C4:C12)</f>
        <v>278.5</v>
      </c>
      <c r="D13" s="45">
        <f t="shared" si="2"/>
        <v>68.5</v>
      </c>
      <c r="E13" s="45">
        <f t="shared" si="2"/>
        <v>347</v>
      </c>
      <c r="F13" s="45">
        <f t="shared" si="2"/>
        <v>281</v>
      </c>
      <c r="G13" s="45">
        <f t="shared" si="2"/>
        <v>-66</v>
      </c>
    </row>
    <row r="16" spans="1:13">
      <c r="M16" s="83"/>
    </row>
  </sheetData>
  <mergeCells count="2">
    <mergeCell ref="A1:G1"/>
    <mergeCell ref="A2:D2"/>
  </mergeCells>
  <pageMargins left="0.7" right="0.7" top="0.75" bottom="0.7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Vashundhar_1</vt:lpstr>
      <vt:lpstr>Vashundhar_2</vt:lpstr>
      <vt:lpstr>Vashundhra-3</vt:lpstr>
      <vt:lpstr>Shalimar_Ext</vt:lpstr>
      <vt:lpstr>Vaishali_OLD</vt:lpstr>
      <vt:lpstr>Rajnagar_Ext</vt:lpstr>
      <vt:lpstr>Vaishali_1</vt:lpstr>
      <vt:lpstr>Shop</vt:lpstr>
      <vt:lpstr>Siddhart Vihar</vt:lpstr>
      <vt:lpstr>Total</vt:lpstr>
      <vt:lpstr>Vashundhar_1!Print_Area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 BALAJI DAIRY</cp:lastModifiedBy>
  <cp:lastPrinted>2026-01-01T00:07:58Z</cp:lastPrinted>
  <dcterms:created xsi:type="dcterms:W3CDTF">2006-09-16T00:00:00Z</dcterms:created>
  <dcterms:modified xsi:type="dcterms:W3CDTF">2026-01-01T05:21:45Z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E158AA8EE697450FB06E97697FB2A1CB_12</vt:lpwstr>
  </property>
  <property fmtid="{D5CDD505-2E9C-101B-9397-08002B2CF9AE}" pid="3" name="KSOProductBuildVer">
    <vt:lpwstr>1033-12.2.0.13306</vt:lpwstr>
  </property>
</Properties>
</file>